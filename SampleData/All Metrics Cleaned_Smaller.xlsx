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534e0d33770ad0c/PythonStuff/Reliability/SampleData/"/>
    </mc:Choice>
  </mc:AlternateContent>
  <xr:revisionPtr revIDLastSave="0" documentId="8_{92C9E90D-7039-4D64-B090-35E11812A2AB}" xr6:coauthVersionLast="47" xr6:coauthVersionMax="47" xr10:uidLastSave="{00000000-0000-0000-0000-000000000000}"/>
  <bookViews>
    <workbookView xWindow="-110" yWindow="-110" windowWidth="38620" windowHeight="21100" xr2:uid="{18937AAF-621B-4514-A62F-915B9E134D21}"/>
  </bookViews>
  <sheets>
    <sheet name="Variables" sheetId="1" r:id="rId1"/>
    <sheet name="ICC " sheetId="2" r:id="rId2"/>
    <sheet name="Typical Erro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4" i="3" l="1"/>
  <c r="CV14" i="3"/>
  <c r="CQ14" i="3"/>
  <c r="CL14" i="3"/>
  <c r="CI14" i="3"/>
  <c r="CD14" i="3"/>
  <c r="BX14" i="3"/>
  <c r="BU14" i="3"/>
  <c r="BQ14" i="3"/>
  <c r="BN14" i="3"/>
  <c r="BK14" i="3"/>
  <c r="BH14" i="3"/>
  <c r="BE14" i="3"/>
  <c r="BB14" i="3"/>
  <c r="AX14" i="3"/>
  <c r="AU14" i="3"/>
  <c r="AR14" i="3"/>
  <c r="AO14" i="3"/>
  <c r="AK14" i="3"/>
  <c r="AH14" i="3"/>
  <c r="AE14" i="3"/>
  <c r="AB14" i="3"/>
  <c r="Y14" i="3"/>
  <c r="V14" i="3"/>
  <c r="S14" i="3"/>
  <c r="P14" i="3"/>
  <c r="M14" i="3"/>
  <c r="J14" i="3"/>
  <c r="G14" i="3"/>
  <c r="B14" i="3"/>
  <c r="CW12" i="3"/>
  <c r="CT12" i="3"/>
  <c r="CO12" i="3"/>
  <c r="CJ12" i="3"/>
  <c r="CG12" i="3"/>
  <c r="CB12" i="3"/>
  <c r="BV12" i="3"/>
  <c r="BS12" i="3"/>
  <c r="BO12" i="3"/>
  <c r="BL12" i="3"/>
  <c r="BI12" i="3"/>
  <c r="BF12" i="3"/>
  <c r="BC12" i="3"/>
  <c r="AZ12" i="3"/>
  <c r="AV12" i="3"/>
  <c r="AS12" i="3"/>
  <c r="AP12" i="3"/>
  <c r="AM12" i="3"/>
  <c r="AI12" i="3"/>
  <c r="AF12" i="3"/>
  <c r="AC12" i="3"/>
  <c r="Z12" i="3"/>
  <c r="W12" i="3"/>
  <c r="T12" i="3"/>
  <c r="Q12" i="3"/>
  <c r="N12" i="3"/>
  <c r="K12" i="3"/>
  <c r="H12" i="3"/>
  <c r="E12" i="3"/>
  <c r="B12" i="3"/>
  <c r="CY11" i="3"/>
  <c r="CV11" i="3"/>
  <c r="CQ11" i="3"/>
  <c r="CL11" i="3"/>
  <c r="CI11" i="3"/>
  <c r="CD11" i="3"/>
  <c r="BX11" i="3"/>
  <c r="BU11" i="3"/>
  <c r="BQ11" i="3"/>
  <c r="BN11" i="3"/>
  <c r="BK11" i="3"/>
  <c r="BH11" i="3"/>
  <c r="BE11" i="3"/>
  <c r="BB11" i="3"/>
  <c r="AX11" i="3"/>
  <c r="AU11" i="3"/>
  <c r="AR11" i="3"/>
  <c r="AO11" i="3"/>
  <c r="AK11" i="3"/>
  <c r="AH11" i="3"/>
  <c r="AB11" i="3"/>
  <c r="Y11" i="3"/>
  <c r="V11" i="3"/>
  <c r="S11" i="3"/>
  <c r="P11" i="3"/>
  <c r="M11" i="3"/>
  <c r="J11" i="3"/>
  <c r="G11" i="3"/>
  <c r="D11" i="3"/>
  <c r="CY9" i="3"/>
  <c r="CV9" i="3"/>
  <c r="CQ9" i="3"/>
  <c r="CL9" i="3"/>
  <c r="CI9" i="3"/>
  <c r="CD9" i="3"/>
  <c r="BX9" i="3"/>
  <c r="BU9" i="3"/>
  <c r="BQ9" i="3"/>
  <c r="BN9" i="3"/>
  <c r="BK9" i="3"/>
  <c r="BH9" i="3"/>
  <c r="BE9" i="3"/>
  <c r="BB9" i="3"/>
  <c r="AX9" i="3"/>
  <c r="AU9" i="3"/>
  <c r="AR9" i="3"/>
  <c r="AO9" i="3"/>
  <c r="AK9" i="3"/>
  <c r="AH9" i="3"/>
  <c r="AB9" i="3"/>
  <c r="Y9" i="3"/>
  <c r="V9" i="3"/>
  <c r="S9" i="3"/>
  <c r="P9" i="3"/>
  <c r="M9" i="3"/>
  <c r="J9" i="3"/>
  <c r="G9" i="3"/>
  <c r="D9" i="3"/>
  <c r="CY3" i="3"/>
  <c r="CY4" i="3"/>
  <c r="CY5" i="3"/>
  <c r="CY6" i="3"/>
  <c r="CY7" i="3"/>
  <c r="CY2" i="3"/>
  <c r="CV3" i="3"/>
  <c r="CV4" i="3"/>
  <c r="CV5" i="3"/>
  <c r="CV6" i="3"/>
  <c r="CV7" i="3"/>
  <c r="CV2" i="3"/>
  <c r="CQ3" i="3"/>
  <c r="CQ4" i="3"/>
  <c r="CQ5" i="3"/>
  <c r="CQ6" i="3"/>
  <c r="CQ7" i="3"/>
  <c r="CQ2" i="3"/>
  <c r="CL3" i="3"/>
  <c r="CL4" i="3"/>
  <c r="CL5" i="3"/>
  <c r="CL6" i="3"/>
  <c r="CL7" i="3"/>
  <c r="CL2" i="3"/>
  <c r="CI3" i="3"/>
  <c r="CI4" i="3"/>
  <c r="CI5" i="3"/>
  <c r="CI6" i="3"/>
  <c r="CI7" i="3"/>
  <c r="CI2" i="3"/>
  <c r="CD3" i="3"/>
  <c r="CD4" i="3"/>
  <c r="CD5" i="3"/>
  <c r="CD6" i="3"/>
  <c r="CD7" i="3"/>
  <c r="CD2" i="3"/>
  <c r="BX3" i="3"/>
  <c r="BX4" i="3"/>
  <c r="BX5" i="3"/>
  <c r="BX6" i="3"/>
  <c r="BX7" i="3"/>
  <c r="BX2" i="3"/>
  <c r="BU3" i="3"/>
  <c r="BU4" i="3"/>
  <c r="BU5" i="3"/>
  <c r="BU6" i="3"/>
  <c r="BU7" i="3"/>
  <c r="BU2" i="3"/>
  <c r="BQ3" i="3"/>
  <c r="BQ4" i="3"/>
  <c r="BQ5" i="3"/>
  <c r="BQ6" i="3"/>
  <c r="BQ7" i="3"/>
  <c r="BQ2" i="3"/>
  <c r="BN3" i="3"/>
  <c r="BN4" i="3"/>
  <c r="BN5" i="3"/>
  <c r="BN6" i="3"/>
  <c r="BN7" i="3"/>
  <c r="BN2" i="3"/>
  <c r="BK3" i="3"/>
  <c r="BK4" i="3"/>
  <c r="BK5" i="3"/>
  <c r="BK6" i="3"/>
  <c r="BK7" i="3"/>
  <c r="BK2" i="3"/>
  <c r="BH3" i="3"/>
  <c r="BH4" i="3"/>
  <c r="BH5" i="3"/>
  <c r="BH6" i="3"/>
  <c r="BH7" i="3"/>
  <c r="BH2" i="3"/>
  <c r="BE3" i="3"/>
  <c r="BE4" i="3"/>
  <c r="BE5" i="3"/>
  <c r="BE6" i="3"/>
  <c r="BE7" i="3"/>
  <c r="BE2" i="3"/>
  <c r="BB3" i="3"/>
  <c r="BB4" i="3"/>
  <c r="BB5" i="3"/>
  <c r="BB6" i="3"/>
  <c r="BB7" i="3"/>
  <c r="BB2" i="3"/>
  <c r="AX3" i="3"/>
  <c r="AX4" i="3"/>
  <c r="AX5" i="3"/>
  <c r="AX6" i="3"/>
  <c r="AX7" i="3"/>
  <c r="AX2" i="3"/>
  <c r="AU3" i="3"/>
  <c r="AU4" i="3"/>
  <c r="AU5" i="3"/>
  <c r="AU6" i="3"/>
  <c r="AU7" i="3"/>
  <c r="AU2" i="3"/>
  <c r="AR3" i="3"/>
  <c r="AR4" i="3"/>
  <c r="AR5" i="3"/>
  <c r="AR6" i="3"/>
  <c r="AR7" i="3"/>
  <c r="AR2" i="3"/>
  <c r="AO3" i="3"/>
  <c r="AO4" i="3"/>
  <c r="AO5" i="3"/>
  <c r="AO6" i="3"/>
  <c r="AO7" i="3"/>
  <c r="AO2" i="3"/>
  <c r="AK3" i="3"/>
  <c r="AK4" i="3"/>
  <c r="AK5" i="3"/>
  <c r="AK6" i="3"/>
  <c r="AK7" i="3"/>
  <c r="AK2" i="3"/>
  <c r="AH3" i="3"/>
  <c r="AH4" i="3"/>
  <c r="AH5" i="3"/>
  <c r="AH6" i="3"/>
  <c r="AH7" i="3"/>
  <c r="AH2" i="3"/>
  <c r="AE3" i="3"/>
  <c r="AE4" i="3"/>
  <c r="AE5" i="3"/>
  <c r="AE6" i="3"/>
  <c r="AE7" i="3"/>
  <c r="AE2" i="3"/>
  <c r="AE11" i="3" s="1"/>
  <c r="AB3" i="3"/>
  <c r="AB4" i="3"/>
  <c r="AB5" i="3"/>
  <c r="AB6" i="3"/>
  <c r="AB7" i="3"/>
  <c r="AB2" i="3"/>
  <c r="Y3" i="3"/>
  <c r="Y4" i="3"/>
  <c r="Y5" i="3"/>
  <c r="Y6" i="3"/>
  <c r="Y7" i="3"/>
  <c r="Y2" i="3"/>
  <c r="V3" i="3"/>
  <c r="V4" i="3"/>
  <c r="V5" i="3"/>
  <c r="V6" i="3"/>
  <c r="V7" i="3"/>
  <c r="V2" i="3"/>
  <c r="S3" i="3"/>
  <c r="S4" i="3"/>
  <c r="S5" i="3"/>
  <c r="S6" i="3"/>
  <c r="S7" i="3"/>
  <c r="S2" i="3"/>
  <c r="P3" i="3"/>
  <c r="P4" i="3"/>
  <c r="P5" i="3"/>
  <c r="P6" i="3"/>
  <c r="P7" i="3"/>
  <c r="P2" i="3"/>
  <c r="M3" i="3"/>
  <c r="M4" i="3"/>
  <c r="M5" i="3"/>
  <c r="M6" i="3"/>
  <c r="M7" i="3"/>
  <c r="M2" i="3"/>
  <c r="J3" i="3"/>
  <c r="J4" i="3"/>
  <c r="J5" i="3"/>
  <c r="J6" i="3"/>
  <c r="J7" i="3"/>
  <c r="J2" i="3"/>
  <c r="G3" i="3"/>
  <c r="G4" i="3"/>
  <c r="G5" i="3"/>
  <c r="G6" i="3"/>
  <c r="G7" i="3"/>
  <c r="G2" i="3"/>
  <c r="D3" i="3"/>
  <c r="D4" i="3"/>
  <c r="D5" i="3"/>
  <c r="D6" i="3"/>
  <c r="D7" i="3"/>
  <c r="D2" i="3"/>
  <c r="CX9" i="3"/>
  <c r="CW9" i="3"/>
  <c r="CU9" i="3"/>
  <c r="CT9" i="3"/>
  <c r="CP9" i="3"/>
  <c r="CO9" i="3"/>
  <c r="CK9" i="3"/>
  <c r="CJ9" i="3"/>
  <c r="CH9" i="3"/>
  <c r="CG9" i="3"/>
  <c r="CC9" i="3"/>
  <c r="CB9" i="3"/>
  <c r="BW9" i="3"/>
  <c r="BV9" i="3"/>
  <c r="BT9" i="3"/>
  <c r="BS9" i="3"/>
  <c r="BP9" i="3"/>
  <c r="BO9" i="3"/>
  <c r="BM9" i="3"/>
  <c r="BL9" i="3"/>
  <c r="BJ9" i="3"/>
  <c r="BI9" i="3"/>
  <c r="BG9" i="3"/>
  <c r="BF9" i="3"/>
  <c r="BD9" i="3"/>
  <c r="BC9" i="3"/>
  <c r="BA9" i="3"/>
  <c r="AZ9" i="3"/>
  <c r="AW9" i="3"/>
  <c r="AV9" i="3"/>
  <c r="AT9" i="3"/>
  <c r="AS9" i="3"/>
  <c r="AQ9" i="3"/>
  <c r="AP9" i="3"/>
  <c r="AN9" i="3"/>
  <c r="AM9" i="3"/>
  <c r="AJ9" i="3"/>
  <c r="AI9" i="3"/>
  <c r="AG9" i="3"/>
  <c r="AF9" i="3"/>
  <c r="AD9" i="3"/>
  <c r="AC9" i="3"/>
  <c r="AA9" i="3"/>
  <c r="Z9" i="3"/>
  <c r="X9" i="3"/>
  <c r="W9" i="3"/>
  <c r="U9" i="3"/>
  <c r="T9" i="3"/>
  <c r="R9" i="3"/>
  <c r="Q9" i="3"/>
  <c r="O9" i="3"/>
  <c r="N9" i="3"/>
  <c r="L9" i="3"/>
  <c r="K9" i="3"/>
  <c r="I9" i="3"/>
  <c r="H9" i="3"/>
  <c r="F9" i="3"/>
  <c r="E9" i="3"/>
  <c r="C9" i="3"/>
  <c r="B9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4" i="2"/>
  <c r="G6" i="2"/>
  <c r="G8" i="2"/>
  <c r="G10" i="2"/>
  <c r="G12" i="2"/>
  <c r="G14" i="2"/>
  <c r="G16" i="2"/>
  <c r="G18" i="2"/>
  <c r="G20" i="2"/>
  <c r="G22" i="2"/>
  <c r="G24" i="2"/>
  <c r="G26" i="2"/>
  <c r="G28" i="2"/>
  <c r="G30" i="2"/>
  <c r="G2" i="2"/>
  <c r="F3" i="2"/>
  <c r="G3" i="2" s="1"/>
  <c r="H3" i="2" l="1"/>
  <c r="AE9" i="3"/>
</calcChain>
</file>

<file path=xl/sharedStrings.xml><?xml version="1.0" encoding="utf-8"?>
<sst xmlns="http://schemas.openxmlformats.org/spreadsheetml/2006/main" count="219" uniqueCount="121">
  <si>
    <t>BRENDAN_1</t>
  </si>
  <si>
    <t>EVAN_1</t>
  </si>
  <si>
    <t>ANDRES_1</t>
  </si>
  <si>
    <t>DAVID_1</t>
  </si>
  <si>
    <t>SIMON_1</t>
  </si>
  <si>
    <t>TOM_1</t>
  </si>
  <si>
    <t>INV_Ankle_Power_LAND Test 1</t>
  </si>
  <si>
    <t>INV_Ankle_Power_PR Test 1</t>
  </si>
  <si>
    <t>INV_Hip_Power_LAND Test 1</t>
  </si>
  <si>
    <t>INV_Hip_Power_PR Test 1</t>
  </si>
  <si>
    <t>INV_Knee_Power_LAND Test 1</t>
  </si>
  <si>
    <t>INV_Knee_Power_PR Test 1</t>
  </si>
  <si>
    <t>INV_Ankle_Power_LAND Test 2</t>
  </si>
  <si>
    <t>INV_Ankle_Power_PR Test 2</t>
  </si>
  <si>
    <t>INV_Hip_Power_LAND Test 2</t>
  </si>
  <si>
    <t>INV_Hip_Power_PR Test 2</t>
  </si>
  <si>
    <t>INV_Knee_Power_LAND Test 2</t>
  </si>
  <si>
    <t>INV_Knee_Power_PR Test 2</t>
  </si>
  <si>
    <t>UNINV_Ankle_Power_LAND Test 1</t>
  </si>
  <si>
    <t>UNINV_Ankle_Power_PR Test 1</t>
  </si>
  <si>
    <t>UNINV_Hip_Power_LAND Test 1</t>
  </si>
  <si>
    <t>UNINV_Hip_Power_PR Test 1</t>
  </si>
  <si>
    <t>UNINV_Knee_Power_LAND Test 1</t>
  </si>
  <si>
    <t>UNINV_Knee_Power_PR Test 1</t>
  </si>
  <si>
    <t>UNV_Ankle_Power_LAND Test 2</t>
  </si>
  <si>
    <t>UNV_Ankle_Power_PR Test 2</t>
  </si>
  <si>
    <t>UNV_Hip_Power_LAND Test 2</t>
  </si>
  <si>
    <t>UNINV_Hip_Power_PR Test 2</t>
  </si>
  <si>
    <t>UNINV_Knee_Power_LAND Test 2</t>
  </si>
  <si>
    <t>UnINV_Knee_Power_PR Test 2</t>
  </si>
  <si>
    <t>Power</t>
  </si>
  <si>
    <t>INV_GRF_IC_X Test 1</t>
  </si>
  <si>
    <t>INV_GRF_IC_X Test 2</t>
  </si>
  <si>
    <t>INV_GRF_max_st_X Test 1</t>
  </si>
  <si>
    <t xml:space="preserve">INV_GRF_max_st_X Test 2 </t>
  </si>
  <si>
    <t>UNINV_GRF_IC_X Test 1</t>
  </si>
  <si>
    <t>UNINV_GRF_IC_X Test 2</t>
  </si>
  <si>
    <t xml:space="preserve">UNINV_GRF_max_st_X Test 1 </t>
  </si>
  <si>
    <t>UNINV_GRF_max_st_X Test 2</t>
  </si>
  <si>
    <t>GRF</t>
  </si>
  <si>
    <t>INV_Ankle_Moment_min_st_X Test 1</t>
  </si>
  <si>
    <t>INV_Ankle_Moment_min_st_X Test 2</t>
  </si>
  <si>
    <t>INV_Hip_Moment_min_st_X Test 1</t>
  </si>
  <si>
    <t>INV_Hip_Moment_min_st_X Test 2</t>
  </si>
  <si>
    <t>INV_Knee_Moment_min_st_X Test 1</t>
  </si>
  <si>
    <t>INV_Knee_Moment_min_st_X Test 2</t>
  </si>
  <si>
    <t>UninV_Ankle_Moment_min_st_X Test 1</t>
  </si>
  <si>
    <t>UnINV_Ankle_Moment_min_st_X Test 2</t>
  </si>
  <si>
    <t>UnINV_Hip_Moment_min_st_X Test 1</t>
  </si>
  <si>
    <t>UnINV_Hip_Moment_min_st_X Test 2</t>
  </si>
  <si>
    <t>UnINV_Knee_Moment_min_st_X Test 1</t>
  </si>
  <si>
    <t>UnINV_Knee_Moment_min_st_X Test 2</t>
  </si>
  <si>
    <t xml:space="preserve">BRENDAN </t>
  </si>
  <si>
    <t xml:space="preserve">EVAN </t>
  </si>
  <si>
    <t xml:space="preserve">ANDRES </t>
  </si>
  <si>
    <t>DAVID</t>
  </si>
  <si>
    <t>SIMON</t>
  </si>
  <si>
    <t>TOM</t>
  </si>
  <si>
    <t xml:space="preserve">Moments </t>
  </si>
  <si>
    <t>INV_Knee_vel_max_fl_X Test 1</t>
  </si>
  <si>
    <t>INV_Knee_vel_max_fl_X Test 2</t>
  </si>
  <si>
    <t>UNINV_Knee_vel_max_fl_X Test 1</t>
  </si>
  <si>
    <t>UNINV_Knee_vel_max_fl_X Test 2</t>
  </si>
  <si>
    <t>Knee Velocity</t>
  </si>
  <si>
    <t>INV_Ankle_Angle_IC_X Test 1</t>
  </si>
  <si>
    <t>INV_Ankle_Angle_IC_X Test 2</t>
  </si>
  <si>
    <t>INV_Ankle_Angle_max_st_X Test 1</t>
  </si>
  <si>
    <t>INV_Ankle_Angle_max_st_X Test 2</t>
  </si>
  <si>
    <t>INV_Knee_Angle_IC_X Test 1</t>
  </si>
  <si>
    <t>INV_Knee_Angle_IC_X Test 2</t>
  </si>
  <si>
    <t>INV_Knee_Angle_max_fl_X Test 1</t>
  </si>
  <si>
    <t>INV_Knee_Angle_max_fl_X Test 2</t>
  </si>
  <si>
    <t>INV_Knee_Angle_max_st_X Test 1</t>
  </si>
  <si>
    <t>UNINV_Ankle_Angle_IC_X Test 1</t>
  </si>
  <si>
    <t>UNINV_Ankle_Angle_IC_X Test 2</t>
  </si>
  <si>
    <t>UNINV_Ankle_Angle_max_st_X Test 1</t>
  </si>
  <si>
    <t>UNINV_Ankle_Angle_max_st_X Test 2</t>
  </si>
  <si>
    <t>UNINV_Knee_Angle_IC_X Test 1</t>
  </si>
  <si>
    <t>UNINV_Knee_Angle_IC_X Test 2</t>
  </si>
  <si>
    <t>UNINV_Knee_Angle_max_fl_X Test 1</t>
  </si>
  <si>
    <t>UNINV_Knee_Angle_max_fl_X Test 2</t>
  </si>
  <si>
    <t>UNINV_Knee_Angle_max_st_X Test 1</t>
  </si>
  <si>
    <t>UNINV_Knee_Angle_max_st_X Test 2</t>
  </si>
  <si>
    <t xml:space="preserve">Kinematics </t>
  </si>
  <si>
    <t>Variable</t>
  </si>
  <si>
    <t>Limb</t>
  </si>
  <si>
    <t>ICC</t>
  </si>
  <si>
    <t>CI_low</t>
  </si>
  <si>
    <t>CI_high</t>
  </si>
  <si>
    <t>Involved</t>
  </si>
  <si>
    <t>Ankle Power Land</t>
  </si>
  <si>
    <t>Ankle Power Prop</t>
  </si>
  <si>
    <t>Hip Power Land</t>
  </si>
  <si>
    <t xml:space="preserve">Involved </t>
  </si>
  <si>
    <t>Hip Power Prop</t>
  </si>
  <si>
    <t>Knee Power Land</t>
  </si>
  <si>
    <t>Knee Power Prop</t>
  </si>
  <si>
    <t>Uninvolved</t>
  </si>
  <si>
    <t>Hip Power Propulsion</t>
  </si>
  <si>
    <t>Knee Power Propulsion</t>
  </si>
  <si>
    <t xml:space="preserve">GRF IC </t>
  </si>
  <si>
    <t>GRF Max X</t>
  </si>
  <si>
    <t>Ankle Peak PF Moment ST</t>
  </si>
  <si>
    <t>Hip Peak Extension Moment ST</t>
  </si>
  <si>
    <t>Knee Peak Extension Moment ST</t>
  </si>
  <si>
    <t xml:space="preserve">Uninvolved </t>
  </si>
  <si>
    <t>Knee Angular Velocity Flight</t>
  </si>
  <si>
    <t>Ankle Angle Max D/F</t>
  </si>
  <si>
    <t>Knee Peak Flexion Angle Flight</t>
  </si>
  <si>
    <t>Knee Peak Flexion Angle Stance</t>
  </si>
  <si>
    <t>SEM</t>
  </si>
  <si>
    <t>MDC</t>
  </si>
  <si>
    <t>TE</t>
  </si>
  <si>
    <t>(TE)</t>
  </si>
  <si>
    <t>(CV%)</t>
  </si>
  <si>
    <t>SD (Test 1)</t>
  </si>
  <si>
    <t>Diff</t>
  </si>
  <si>
    <t>S.diff</t>
  </si>
  <si>
    <t>MEAN (T1)</t>
  </si>
  <si>
    <t>INV_Knee_Angle_max_st_X Test 2</t>
  </si>
  <si>
    <t>CV%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</si>
</sst>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 (Body)"/>
    </font>
    <font>
      <sz val="11"/>
      <color rgb="FF000000"/>
      <name val="Aptos Narrow"/>
      <family val="2"/>
      <scheme val="minor"/>
    </font>
    <font>
      <sz val="14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3" fillId="0" borderId="0" xfId="0" applyFont="1"/>
    <xf numFmtId="0" fontId="0" fillId="10" borderId="0" xfId="0" applyFill="1"/>
    <xf numFmtId="0" fontId="1" fillId="9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0" borderId="0" xfId="0" applyFont="1"/>
    <xf numFmtId="0" fontId="0" fillId="12" borderId="0" xfId="0" applyFill="1" applyAlignment="1">
      <alignment wrapText="1"/>
    </xf>
    <xf numFmtId="0" fontId="0" fillId="12" borderId="0" xfId="0" applyFill="1"/>
    <xf numFmtId="0" fontId="6" fillId="0" borderId="0" xfId="0" applyFont="1"/>
    <xf numFmtId="2" fontId="0" fillId="0" borderId="0" xfId="0" applyNumberFormat="1"/>
    <xf numFmtId="0" fontId="6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7" fillId="8" borderId="0" xfId="0" applyFont="1" applyFill="1" applyAlignment="1">
      <alignment wrapText="1"/>
    </xf>
    <xf numFmtId="0" fontId="8" fillId="0" borderId="0" xfId="0" applyFont="1"/>
    <xf numFmtId="0" fontId="8" fillId="10" borderId="0" xfId="0" applyFont="1" applyFill="1"/>
    <xf numFmtId="0" fontId="9" fillId="0" borderId="0" xfId="0" applyFont="1"/>
    <xf numFmtId="0" fontId="10" fillId="0" borderId="0" xfId="0" applyFont="1"/>
    <xf numFmtId="2" fontId="11" fillId="0" borderId="0" xfId="0" applyNumberFormat="1" applyFont="1"/>
    <xf numFmtId="0" fontId="1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92D5-595F-47A7-BE29-23CA89498328}">
  <dimension ref="A1:G7"/>
  <sheetViews>
    <sheetView tabSelected="1" zoomScale="101" workbookViewId="0">
      <selection activeCell="D12" sqref="D12"/>
    </sheetView>
  </sheetViews>
  <sheetFormatPr defaultColWidth="8.81640625" defaultRowHeight="14.5"/>
  <sheetData>
    <row r="1" spans="1:7" s="1" customFormat="1" ht="58">
      <c r="A1" s="1">
        <v>0</v>
      </c>
      <c r="B1" s="1" t="s">
        <v>6</v>
      </c>
      <c r="C1" s="1" t="s">
        <v>12</v>
      </c>
      <c r="D1" s="1" t="s">
        <v>7</v>
      </c>
      <c r="E1" s="1" t="s">
        <v>13</v>
      </c>
      <c r="F1" s="1" t="s">
        <v>8</v>
      </c>
      <c r="G1" s="1" t="s">
        <v>14</v>
      </c>
    </row>
    <row r="2" spans="1:7">
      <c r="A2" t="s">
        <v>0</v>
      </c>
      <c r="B2">
        <v>-3.5512000000000001</v>
      </c>
      <c r="C2">
        <v>-2.5091000000000001</v>
      </c>
      <c r="D2">
        <v>16.965199999999999</v>
      </c>
      <c r="E2">
        <v>15.592499999999999</v>
      </c>
      <c r="F2">
        <v>-18.975200000000001</v>
      </c>
      <c r="G2">
        <v>-23.378299999999999</v>
      </c>
    </row>
    <row r="3" spans="1:7">
      <c r="A3" t="s">
        <v>1</v>
      </c>
      <c r="B3">
        <v>-8.4513999999999996</v>
      </c>
      <c r="C3">
        <v>-7.7828999999999997</v>
      </c>
      <c r="D3">
        <v>20.190100000000001</v>
      </c>
      <c r="E3">
        <v>20.648599999999998</v>
      </c>
      <c r="F3">
        <v>-28.994900000000001</v>
      </c>
      <c r="G3">
        <v>-30.5733</v>
      </c>
    </row>
    <row r="4" spans="1:7">
      <c r="A4" t="s">
        <v>2</v>
      </c>
      <c r="B4">
        <v>-15.9283</v>
      </c>
      <c r="C4">
        <v>-8.1888000000000005</v>
      </c>
      <c r="D4">
        <v>16.160299999999999</v>
      </c>
      <c r="E4">
        <v>19.122699999999998</v>
      </c>
      <c r="F4">
        <v>-24.040199999999999</v>
      </c>
      <c r="G4">
        <v>-34.686599999999999</v>
      </c>
    </row>
    <row r="5" spans="1:7">
      <c r="A5" t="s">
        <v>3</v>
      </c>
      <c r="B5">
        <v>-8.7658000000000005</v>
      </c>
      <c r="C5">
        <v>-10.1944</v>
      </c>
      <c r="D5">
        <v>19.066299999999998</v>
      </c>
      <c r="E5">
        <v>20.604700000000001</v>
      </c>
      <c r="F5">
        <v>-29.626300000000001</v>
      </c>
      <c r="G5">
        <v>-34.453699999999998</v>
      </c>
    </row>
    <row r="6" spans="1:7">
      <c r="A6" t="s">
        <v>4</v>
      </c>
      <c r="B6">
        <v>-11.326000000000001</v>
      </c>
      <c r="C6">
        <v>-9.0276999999999994</v>
      </c>
      <c r="D6">
        <v>20.912099999999999</v>
      </c>
      <c r="E6">
        <v>20.101500000000001</v>
      </c>
      <c r="F6">
        <v>-31.008700000000001</v>
      </c>
      <c r="G6">
        <v>-34.852600000000002</v>
      </c>
    </row>
    <row r="7" spans="1:7">
      <c r="A7" t="s">
        <v>5</v>
      </c>
      <c r="B7">
        <v>-2.7440000000000002</v>
      </c>
      <c r="C7">
        <v>-7.9139999999999997</v>
      </c>
      <c r="D7">
        <v>25.2227</v>
      </c>
      <c r="E7">
        <v>23.7516</v>
      </c>
      <c r="F7">
        <v>-23.465900000000001</v>
      </c>
      <c r="G7">
        <v>-26.096499999999999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C7CB-2C90-DD45-9EBA-80842E9267E6}">
  <dimension ref="A1:J31"/>
  <sheetViews>
    <sheetView workbookViewId="0">
      <selection activeCell="N19" sqref="N19"/>
    </sheetView>
  </sheetViews>
  <sheetFormatPr defaultColWidth="10.90625" defaultRowHeight="14.5"/>
  <cols>
    <col min="1" max="1" width="25.1796875" bestFit="1" customWidth="1"/>
    <col min="2" max="2" width="9.453125" customWidth="1"/>
    <col min="4" max="4" width="13.81640625" customWidth="1"/>
    <col min="5" max="5" width="14.1796875" customWidth="1"/>
    <col min="6" max="6" width="13.6328125" bestFit="1" customWidth="1"/>
    <col min="15" max="15" width="17" bestFit="1" customWidth="1"/>
  </cols>
  <sheetData>
    <row r="1" spans="1:10">
      <c r="A1" s="11" t="s">
        <v>84</v>
      </c>
      <c r="B1" s="11" t="s">
        <v>85</v>
      </c>
      <c r="C1" s="11" t="s">
        <v>86</v>
      </c>
      <c r="D1" s="11" t="s">
        <v>87</v>
      </c>
      <c r="E1" s="11" t="s">
        <v>88</v>
      </c>
      <c r="F1" s="11" t="s">
        <v>115</v>
      </c>
      <c r="G1" s="11" t="s">
        <v>110</v>
      </c>
      <c r="H1" s="11" t="s">
        <v>111</v>
      </c>
      <c r="I1" s="11" t="s">
        <v>113</v>
      </c>
      <c r="J1" s="11" t="s">
        <v>114</v>
      </c>
    </row>
    <row r="2" spans="1:10">
      <c r="A2" t="s">
        <v>90</v>
      </c>
      <c r="B2" t="s">
        <v>89</v>
      </c>
      <c r="C2" s="15">
        <v>0.44</v>
      </c>
      <c r="D2" s="15">
        <v>-0.57999999999999996</v>
      </c>
      <c r="E2" s="15">
        <v>0.90300000000000002</v>
      </c>
      <c r="F2" s="24">
        <v>4.9163399999999999</v>
      </c>
      <c r="G2" s="24">
        <f>F2*SQRT(1-MAX(C2,0))</f>
        <v>3.6790519753784401</v>
      </c>
      <c r="H2" s="24">
        <f>F2*1.96*SQRT(2)</f>
        <v>13.627399222265192</v>
      </c>
      <c r="I2" s="24">
        <v>3.0176917075804814</v>
      </c>
      <c r="J2" s="24">
        <v>35.665407137913022</v>
      </c>
    </row>
    <row r="3" spans="1:10">
      <c r="A3" t="s">
        <v>91</v>
      </c>
      <c r="B3" t="s">
        <v>89</v>
      </c>
      <c r="C3" s="15">
        <v>0.84299999999999997</v>
      </c>
      <c r="D3" s="15">
        <v>0.214</v>
      </c>
      <c r="E3" s="15">
        <v>0.97699999999999998</v>
      </c>
      <c r="F3" s="24">
        <f>_xlfn.STDEV.S(D28:D32)</f>
        <v>0.45864873995975025</v>
      </c>
      <c r="G3" s="24">
        <f>F3*SQRT(1-MAX(C3,0))</f>
        <v>0.18173142454365634</v>
      </c>
      <c r="H3" s="24">
        <f>F3*1.96*SQRT(2)</f>
        <v>1.2713094460961631</v>
      </c>
      <c r="I3" s="24">
        <v>1.2559629544032469</v>
      </c>
      <c r="J3" s="24">
        <v>35.665410000000001</v>
      </c>
    </row>
    <row r="4" spans="1:10">
      <c r="A4" t="s">
        <v>92</v>
      </c>
      <c r="B4" t="s">
        <v>93</v>
      </c>
      <c r="C4" s="15">
        <v>0.54300000000000004</v>
      </c>
      <c r="D4" s="15">
        <v>-0.129</v>
      </c>
      <c r="E4" s="15">
        <v>0.91600000000000004</v>
      </c>
      <c r="F4" s="24">
        <v>4.6220079267204506</v>
      </c>
      <c r="G4" s="24">
        <f t="shared" ref="G4:G5" si="0">F4*SQRT(1-MAX(C4,0))</f>
        <v>3.1245594048637755</v>
      </c>
      <c r="H4" s="24">
        <f t="shared" ref="H4:H31" si="1">F4*1.96*SQRT(2)</f>
        <v>12.811552338913463</v>
      </c>
      <c r="I4" s="24">
        <v>2.240794400504726</v>
      </c>
      <c r="J4" s="24">
        <v>8.6123009771421621</v>
      </c>
    </row>
    <row r="5" spans="1:10">
      <c r="A5" t="s">
        <v>94</v>
      </c>
      <c r="B5" t="s">
        <v>93</v>
      </c>
      <c r="C5" s="15">
        <v>0.74299999999999999</v>
      </c>
      <c r="D5" s="15">
        <v>-0.99</v>
      </c>
      <c r="E5" s="15">
        <v>0.96</v>
      </c>
      <c r="F5" s="24">
        <v>2.3948299343933863</v>
      </c>
      <c r="G5" s="24">
        <f t="shared" si="0"/>
        <v>1.214063044725983</v>
      </c>
      <c r="H5" s="24">
        <f t="shared" si="1"/>
        <v>6.638129906680545</v>
      </c>
      <c r="I5" s="24">
        <v>1.1302879119941074</v>
      </c>
      <c r="J5" s="24">
        <v>10.399157655793744</v>
      </c>
    </row>
    <row r="6" spans="1:10">
      <c r="A6" t="s">
        <v>95</v>
      </c>
      <c r="B6" t="s">
        <v>89</v>
      </c>
      <c r="C6" s="15">
        <v>0.21299999999999999</v>
      </c>
      <c r="D6" s="15">
        <v>-0.41499999999999998</v>
      </c>
      <c r="E6" s="15">
        <v>0.81200000000000006</v>
      </c>
      <c r="F6" s="24">
        <v>6.1038980498257729</v>
      </c>
      <c r="G6" s="24">
        <f t="shared" ref="G6:G7" si="2">F6*SQRT(1-MAX(C6,0))</f>
        <v>5.4149523260965857</v>
      </c>
      <c r="H6" s="24">
        <f t="shared" si="1"/>
        <v>16.919142194596336</v>
      </c>
      <c r="I6" s="24">
        <v>4.6400033115110304</v>
      </c>
      <c r="J6" s="24">
        <v>13.299889296208095</v>
      </c>
    </row>
    <row r="7" spans="1:10">
      <c r="A7" t="s">
        <v>96</v>
      </c>
      <c r="B7" t="s">
        <v>93</v>
      </c>
      <c r="C7" s="15">
        <v>0.88700000000000001</v>
      </c>
      <c r="D7" s="15">
        <v>0.39300000000000002</v>
      </c>
      <c r="E7" s="15">
        <v>0.98299999999999998</v>
      </c>
      <c r="F7" s="24">
        <v>3.7672253890628884</v>
      </c>
      <c r="G7" s="24">
        <f t="shared" si="2"/>
        <v>1.2663706194933628</v>
      </c>
      <c r="H7" s="24">
        <f t="shared" si="1"/>
        <v>10.442216025948834</v>
      </c>
      <c r="I7" s="24">
        <v>1.1083223274390894</v>
      </c>
      <c r="J7" s="24">
        <v>13.191172666497138</v>
      </c>
    </row>
    <row r="8" spans="1:10">
      <c r="A8" t="s">
        <v>90</v>
      </c>
      <c r="B8" t="s">
        <v>97</v>
      </c>
      <c r="C8" s="15">
        <v>0.28199999999999997</v>
      </c>
      <c r="D8" s="15">
        <v>-6.5000000000000002E-2</v>
      </c>
      <c r="E8" s="15">
        <v>0.79800000000000004</v>
      </c>
      <c r="F8" s="24">
        <v>2.2726461710232564</v>
      </c>
      <c r="G8" s="24">
        <f t="shared" ref="G8:G9" si="3">F8*SQRT(1-MAX(C8,0))</f>
        <v>1.9257240207783326</v>
      </c>
      <c r="H8" s="24">
        <f t="shared" si="1"/>
        <v>6.2994537935712929</v>
      </c>
      <c r="I8" s="24">
        <v>1.0998534060652514</v>
      </c>
      <c r="J8" s="24">
        <v>16.268496630965316</v>
      </c>
    </row>
    <row r="9" spans="1:10">
      <c r="A9" t="s">
        <v>91</v>
      </c>
      <c r="B9" t="s">
        <v>97</v>
      </c>
      <c r="C9" s="15">
        <v>0.92900000000000005</v>
      </c>
      <c r="D9" s="15">
        <v>0.46600000000000003</v>
      </c>
      <c r="E9" s="15">
        <v>0.99</v>
      </c>
      <c r="F9" s="24">
        <v>2.6161084460829636</v>
      </c>
      <c r="G9" s="24">
        <f t="shared" si="3"/>
        <v>0.6970836832965821</v>
      </c>
      <c r="H9" s="24">
        <f t="shared" si="1"/>
        <v>7.2514826483750863</v>
      </c>
      <c r="I9" s="24">
        <v>0.58329912980676879</v>
      </c>
      <c r="J9" s="24">
        <v>2.9986460566268498</v>
      </c>
    </row>
    <row r="10" spans="1:10">
      <c r="A10" t="s">
        <v>92</v>
      </c>
      <c r="B10" t="s">
        <v>97</v>
      </c>
      <c r="C10" s="15">
        <v>0.68600000000000005</v>
      </c>
      <c r="D10" s="15">
        <v>-0.122</v>
      </c>
      <c r="E10" s="15">
        <v>0.94899999999999995</v>
      </c>
      <c r="F10" s="24">
        <v>3.7789514934260242</v>
      </c>
      <c r="G10" s="24">
        <f t="shared" ref="G10:G11" si="4">F10*SQRT(1-MAX(C10,0))</f>
        <v>2.1175620317609041</v>
      </c>
      <c r="H10" s="24">
        <f t="shared" si="1"/>
        <v>10.474719128964166</v>
      </c>
      <c r="I10" s="24">
        <v>3.1081894200375451</v>
      </c>
      <c r="J10" s="24">
        <v>9.8724131466532938</v>
      </c>
    </row>
    <row r="11" spans="1:10">
      <c r="A11" t="s">
        <v>98</v>
      </c>
      <c r="B11" t="s">
        <v>97</v>
      </c>
      <c r="C11" s="15">
        <v>0.30499999999999999</v>
      </c>
      <c r="D11" s="15">
        <v>-0.80400000000000005</v>
      </c>
      <c r="E11" s="15">
        <v>0.872</v>
      </c>
      <c r="F11" s="24">
        <v>1.5241497075418775</v>
      </c>
      <c r="G11" s="24">
        <f t="shared" si="4"/>
        <v>1.2706327046180552</v>
      </c>
      <c r="H11" s="24">
        <f t="shared" si="1"/>
        <v>4.2247274474857113</v>
      </c>
      <c r="I11" s="24">
        <v>1.3969954163608886</v>
      </c>
      <c r="J11" s="24">
        <v>12.251068059518188</v>
      </c>
    </row>
    <row r="12" spans="1:10">
      <c r="A12" t="s">
        <v>95</v>
      </c>
      <c r="B12" t="s">
        <v>97</v>
      </c>
      <c r="C12" s="15">
        <v>0.47099999999999997</v>
      </c>
      <c r="D12" s="15">
        <v>-0.23799999999999999</v>
      </c>
      <c r="E12" s="15">
        <v>0.89600000000000002</v>
      </c>
      <c r="F12" s="24">
        <v>8.9859733007430371</v>
      </c>
      <c r="G12" s="24">
        <f t="shared" ref="G12:G13" si="5">F12*SQRT(1-MAX(C12,0))</f>
        <v>6.5357128034761205</v>
      </c>
      <c r="H12" s="24">
        <f t="shared" si="1"/>
        <v>24.907847213545327</v>
      </c>
      <c r="I12" s="24">
        <v>5.466493870419443</v>
      </c>
      <c r="J12" s="24">
        <v>16.229341311617983</v>
      </c>
    </row>
    <row r="13" spans="1:10">
      <c r="A13" t="s">
        <v>99</v>
      </c>
      <c r="B13" t="s">
        <v>97</v>
      </c>
      <c r="C13" s="15">
        <v>0.89800000000000002</v>
      </c>
      <c r="D13" s="15">
        <v>0.505</v>
      </c>
      <c r="E13" s="15">
        <v>0.98499999999999999</v>
      </c>
      <c r="F13" s="24">
        <v>3.954380049346125</v>
      </c>
      <c r="G13" s="24">
        <f t="shared" si="5"/>
        <v>1.2629277099723479</v>
      </c>
      <c r="H13" s="24">
        <f t="shared" si="1"/>
        <v>10.960982277263243</v>
      </c>
      <c r="I13" s="24">
        <v>1.2573110058109453</v>
      </c>
      <c r="J13" s="24">
        <v>13.998014627045135</v>
      </c>
    </row>
    <row r="14" spans="1:10">
      <c r="A14" t="s">
        <v>100</v>
      </c>
      <c r="B14" t="s">
        <v>89</v>
      </c>
      <c r="C14" s="15">
        <v>0.98899999999999999</v>
      </c>
      <c r="D14" s="15">
        <v>0.93100000000000005</v>
      </c>
      <c r="E14" s="15">
        <v>0.998</v>
      </c>
      <c r="F14" s="24">
        <v>5.6694388317245874E-2</v>
      </c>
      <c r="G14" s="24">
        <f t="shared" ref="G14:G15" si="6">F14*SQRT(1-MAX(C14,0))</f>
        <v>5.9461576108721962E-3</v>
      </c>
      <c r="H14" s="24">
        <f t="shared" si="1"/>
        <v>0.15714882682264392</v>
      </c>
      <c r="I14" s="24">
        <v>6.0307545133258403E-3</v>
      </c>
      <c r="J14" s="24">
        <v>7.4653449721384453</v>
      </c>
    </row>
    <row r="15" spans="1:10">
      <c r="A15" t="s">
        <v>101</v>
      </c>
      <c r="B15" t="s">
        <v>89</v>
      </c>
      <c r="C15" s="15">
        <v>0.98699999999999999</v>
      </c>
      <c r="D15" s="15">
        <v>0.92500000000000004</v>
      </c>
      <c r="E15" s="15">
        <v>0.998</v>
      </c>
      <c r="F15" s="24">
        <v>3.3236450873501321E-2</v>
      </c>
      <c r="G15" s="24">
        <f t="shared" si="6"/>
        <v>3.7895384503481002E-3</v>
      </c>
      <c r="H15" s="24">
        <f t="shared" si="1"/>
        <v>9.2126741597287232E-2</v>
      </c>
      <c r="I15" s="24">
        <v>3.7421250647192423E-3</v>
      </c>
      <c r="J15" s="24">
        <v>0.92447607313852909</v>
      </c>
    </row>
    <row r="16" spans="1:10">
      <c r="A16" t="s">
        <v>100</v>
      </c>
      <c r="B16" t="s">
        <v>97</v>
      </c>
      <c r="C16" s="15">
        <v>0.995</v>
      </c>
      <c r="D16" s="15">
        <v>0.96899999999999997</v>
      </c>
      <c r="E16" s="15">
        <v>0.999</v>
      </c>
      <c r="F16" s="24">
        <v>4.0468440378480929E-2</v>
      </c>
      <c r="G16" s="24">
        <f t="shared" ref="G16:G17" si="7">F16*SQRT(1-MAX(C16,0))</f>
        <v>2.8615508615667368E-3</v>
      </c>
      <c r="H16" s="24">
        <f t="shared" si="1"/>
        <v>0.11217279377341605</v>
      </c>
      <c r="I16" s="24">
        <v>3.0544230224381149E-3</v>
      </c>
      <c r="J16" s="24">
        <v>3.48148520794618</v>
      </c>
    </row>
    <row r="17" spans="1:10">
      <c r="A17" t="s">
        <v>101</v>
      </c>
      <c r="B17" t="s">
        <v>97</v>
      </c>
      <c r="C17" s="15">
        <v>0.94599999999999995</v>
      </c>
      <c r="D17" s="15">
        <v>0.71</v>
      </c>
      <c r="E17" s="15">
        <v>0.99199999999999999</v>
      </c>
      <c r="F17" s="24">
        <v>3.0634539330631354E-2</v>
      </c>
      <c r="G17" s="24">
        <f t="shared" si="7"/>
        <v>7.1188236387762834E-3</v>
      </c>
      <c r="H17" s="24">
        <f t="shared" si="1"/>
        <v>8.4914610756924483E-2</v>
      </c>
      <c r="I17" s="24">
        <v>6.8848626226914247E-3</v>
      </c>
      <c r="J17" s="24">
        <v>1.72014056781797</v>
      </c>
    </row>
    <row r="18" spans="1:10">
      <c r="A18" t="s">
        <v>102</v>
      </c>
      <c r="B18" t="s">
        <v>89</v>
      </c>
      <c r="C18" s="15">
        <v>0.83299999999999996</v>
      </c>
      <c r="D18" s="15">
        <v>0.156</v>
      </c>
      <c r="E18" s="15">
        <v>0.97499999999999998</v>
      </c>
      <c r="F18" s="24">
        <v>0.3234472471156104</v>
      </c>
      <c r="G18" s="24">
        <f t="shared" ref="G18:G19" si="8">F18*SQRT(1-MAX(C18,0))</f>
        <v>0.13217876651842894</v>
      </c>
      <c r="H18" s="24">
        <f t="shared" si="1"/>
        <v>0.8965500278229509</v>
      </c>
      <c r="I18" s="24">
        <v>0.14840587870206939</v>
      </c>
      <c r="J18" s="24">
        <v>3.5394707389601279</v>
      </c>
    </row>
    <row r="19" spans="1:10">
      <c r="A19" t="s">
        <v>103</v>
      </c>
      <c r="B19" t="s">
        <v>89</v>
      </c>
      <c r="C19" s="15">
        <v>0.75700000000000001</v>
      </c>
      <c r="D19" s="15">
        <v>4.8000000000000001E-2</v>
      </c>
      <c r="E19" s="15">
        <v>0.96199999999999997</v>
      </c>
      <c r="F19" s="24">
        <v>0.29367863842415792</v>
      </c>
      <c r="G19" s="24">
        <f t="shared" si="8"/>
        <v>0.14476897343008324</v>
      </c>
      <c r="H19" s="24">
        <f t="shared" si="1"/>
        <v>0.81403565433986869</v>
      </c>
      <c r="I19" s="24">
        <v>0.1073838504307483</v>
      </c>
      <c r="J19" s="24">
        <v>6.0967363984149303</v>
      </c>
    </row>
    <row r="20" spans="1:10">
      <c r="A20" t="s">
        <v>104</v>
      </c>
      <c r="B20" t="s">
        <v>89</v>
      </c>
      <c r="C20" s="15">
        <v>0.77500000000000002</v>
      </c>
      <c r="D20" s="15">
        <v>0.158</v>
      </c>
      <c r="E20" s="15">
        <v>0.96399999999999997</v>
      </c>
      <c r="F20" s="24">
        <v>0.22544031065154854</v>
      </c>
      <c r="G20" s="24">
        <f t="shared" ref="G20:G21" si="9">F20*SQRT(1-MAX(C20,0))</f>
        <v>0.10693572871122171</v>
      </c>
      <c r="H20" s="24">
        <f t="shared" si="1"/>
        <v>0.6248886598648864</v>
      </c>
      <c r="I20" s="24">
        <v>9.7624584506158171E-2</v>
      </c>
      <c r="J20" s="24">
        <v>3.5802105474518147</v>
      </c>
    </row>
    <row r="21" spans="1:10">
      <c r="A21" t="s">
        <v>102</v>
      </c>
      <c r="B21" t="s">
        <v>97</v>
      </c>
      <c r="C21" s="15">
        <v>0.96099999999999997</v>
      </c>
      <c r="D21" s="15">
        <v>0.754</v>
      </c>
      <c r="E21" s="15">
        <v>0.99399999999999999</v>
      </c>
      <c r="F21" s="24">
        <v>0.30079372112241087</v>
      </c>
      <c r="G21" s="24">
        <f t="shared" si="9"/>
        <v>5.9402000336689034E-2</v>
      </c>
      <c r="H21" s="24">
        <f t="shared" si="1"/>
        <v>0.8337576573804486</v>
      </c>
      <c r="I21" s="24">
        <v>6.6077394016410634E-2</v>
      </c>
      <c r="J21" s="24">
        <v>1.5700688440976096</v>
      </c>
    </row>
    <row r="22" spans="1:10">
      <c r="A22" t="s">
        <v>103</v>
      </c>
      <c r="B22" t="s">
        <v>97</v>
      </c>
      <c r="C22" s="15">
        <v>0.84</v>
      </c>
      <c r="D22" s="15">
        <v>0.20899999999999999</v>
      </c>
      <c r="E22" s="15">
        <v>0.97599999999999998</v>
      </c>
      <c r="F22" s="24">
        <v>0.32451490207179384</v>
      </c>
      <c r="G22" s="24">
        <f t="shared" ref="G22:G23" si="10">F22*SQRT(1-MAX(C22,0))</f>
        <v>0.12980596082871754</v>
      </c>
      <c r="H22" s="24">
        <f t="shared" si="1"/>
        <v>0.89950941637613113</v>
      </c>
      <c r="I22" s="24">
        <v>0.13157407356061196</v>
      </c>
      <c r="J22" s="24">
        <v>7.3561918555650241</v>
      </c>
    </row>
    <row r="23" spans="1:10">
      <c r="A23" t="s">
        <v>104</v>
      </c>
      <c r="B23" t="s">
        <v>105</v>
      </c>
      <c r="C23" s="15">
        <v>0.74199999999999999</v>
      </c>
      <c r="D23" s="15">
        <v>5.1999999999999998E-2</v>
      </c>
      <c r="E23" s="15">
        <v>0.95799999999999996</v>
      </c>
      <c r="F23" s="24">
        <v>0.34787705874345831</v>
      </c>
      <c r="G23" s="24">
        <f t="shared" si="10"/>
        <v>0.17669963096735625</v>
      </c>
      <c r="H23" s="24">
        <f t="shared" si="1"/>
        <v>0.96426601084638286</v>
      </c>
      <c r="I23" s="24">
        <v>0.1940652334482745</v>
      </c>
      <c r="J23" s="24">
        <v>7.9577329498615859</v>
      </c>
    </row>
    <row r="24" spans="1:10">
      <c r="A24" t="s">
        <v>106</v>
      </c>
      <c r="B24" t="s">
        <v>89</v>
      </c>
      <c r="C24" s="15">
        <v>0.97</v>
      </c>
      <c r="D24" s="15">
        <v>0.81799999999999995</v>
      </c>
      <c r="E24" s="15">
        <v>0.996</v>
      </c>
      <c r="F24" s="24">
        <v>48.398067632227502</v>
      </c>
      <c r="G24" s="24">
        <f t="shared" ref="G24:G25" si="11">F24*SQRT(1-MAX(C24,0))</f>
        <v>8.382791212717283</v>
      </c>
      <c r="H24" s="24">
        <f t="shared" si="1"/>
        <v>134.15259913076704</v>
      </c>
      <c r="I24" s="24">
        <v>7.9566987392280799</v>
      </c>
      <c r="J24" s="24">
        <v>1.1823361385767779</v>
      </c>
    </row>
    <row r="25" spans="1:10">
      <c r="A25" t="s">
        <v>106</v>
      </c>
      <c r="B25" t="s">
        <v>97</v>
      </c>
      <c r="C25" s="15">
        <v>0.95899999999999996</v>
      </c>
      <c r="D25" s="15">
        <v>0.75</v>
      </c>
      <c r="E25" s="15">
        <v>0.99399999999999999</v>
      </c>
      <c r="F25" s="24">
        <v>44.879795676737054</v>
      </c>
      <c r="G25" s="24">
        <f t="shared" si="11"/>
        <v>9.0874660087073984</v>
      </c>
      <c r="H25" s="24">
        <f t="shared" si="1"/>
        <v>124.40044681624688</v>
      </c>
      <c r="I25" s="24">
        <v>8.983531443118574</v>
      </c>
      <c r="J25" s="24">
        <v>1.3626800959758529</v>
      </c>
    </row>
    <row r="26" spans="1:10">
      <c r="A26" t="s">
        <v>107</v>
      </c>
      <c r="B26" t="s">
        <v>93</v>
      </c>
      <c r="C26" s="15">
        <v>0.50700000000000001</v>
      </c>
      <c r="D26" s="15">
        <v>-0.156</v>
      </c>
      <c r="E26" s="15">
        <v>0.90300000000000002</v>
      </c>
      <c r="F26" s="24">
        <v>1.7919945319857047</v>
      </c>
      <c r="G26" s="24">
        <f t="shared" ref="G26:G27" si="12">F26*SQRT(1-MAX(C26,0))</f>
        <v>1.2582303010636271</v>
      </c>
      <c r="H26" s="24">
        <f t="shared" si="1"/>
        <v>4.967155422831917</v>
      </c>
      <c r="I26" s="24">
        <v>0.87956162196479037</v>
      </c>
      <c r="J26" s="24">
        <v>3.4232135163603106</v>
      </c>
    </row>
    <row r="27" spans="1:10">
      <c r="A27" t="s">
        <v>108</v>
      </c>
      <c r="B27" t="s">
        <v>89</v>
      </c>
      <c r="C27" s="15">
        <v>0.88500000000000001</v>
      </c>
      <c r="D27" s="15">
        <v>0.44600000000000001</v>
      </c>
      <c r="E27" s="15">
        <v>0.98299999999999998</v>
      </c>
      <c r="F27" s="24">
        <v>5.7987098539818893</v>
      </c>
      <c r="G27" s="24">
        <f t="shared" si="12"/>
        <v>1.9664381853052657</v>
      </c>
      <c r="H27" s="24">
        <f t="shared" si="1"/>
        <v>16.07320367474469</v>
      </c>
      <c r="I27" s="24">
        <v>2.0496476150792371</v>
      </c>
      <c r="J27" s="24">
        <v>1.7859077369930052</v>
      </c>
    </row>
    <row r="28" spans="1:10">
      <c r="A28" t="s">
        <v>109</v>
      </c>
      <c r="B28" t="s">
        <v>89</v>
      </c>
      <c r="C28" s="15">
        <v>0.85599999999999998</v>
      </c>
      <c r="D28" s="15">
        <v>0.36499999999999999</v>
      </c>
      <c r="E28" s="15">
        <v>0.97799999999999998</v>
      </c>
      <c r="F28" s="24">
        <v>2.1541445732974078</v>
      </c>
      <c r="G28" s="24">
        <f t="shared" ref="G28:G29" si="13">F28*SQRT(1-MAX(C28,0))</f>
        <v>0.81744039130936075</v>
      </c>
      <c r="H28" s="24">
        <f t="shared" si="1"/>
        <v>5.9709841229044116</v>
      </c>
      <c r="I28" s="24">
        <v>0.6680983362000944</v>
      </c>
      <c r="J28" s="24">
        <v>1.6704017446630712</v>
      </c>
    </row>
    <row r="29" spans="1:10">
      <c r="A29" t="s">
        <v>107</v>
      </c>
      <c r="B29" t="s">
        <v>97</v>
      </c>
      <c r="C29" s="15">
        <v>0.53300000000000003</v>
      </c>
      <c r="D29" s="15">
        <v>-0.29699999999999999</v>
      </c>
      <c r="E29" s="15">
        <v>0.91600000000000004</v>
      </c>
      <c r="F29" s="24">
        <v>1.5993374946103984</v>
      </c>
      <c r="G29" s="24">
        <f t="shared" si="13"/>
        <v>1.0929456331027327</v>
      </c>
      <c r="H29" s="24">
        <f t="shared" si="1"/>
        <v>4.4331373603520712</v>
      </c>
      <c r="I29" s="24">
        <v>1.0613764129657297</v>
      </c>
      <c r="J29" s="24">
        <v>4.3709729740932755</v>
      </c>
    </row>
    <row r="30" spans="1:10">
      <c r="A30" t="s">
        <v>108</v>
      </c>
      <c r="B30" t="s">
        <v>97</v>
      </c>
      <c r="C30" s="15">
        <v>0.95</v>
      </c>
      <c r="D30" s="15">
        <v>0.72499999999999998</v>
      </c>
      <c r="E30" s="15">
        <v>0.99299999999999999</v>
      </c>
      <c r="F30" s="24">
        <v>8.3068936755965925</v>
      </c>
      <c r="G30" s="24">
        <f t="shared" ref="G30:G31" si="14">F30*SQRT(1-MAX(C30,0))</f>
        <v>1.8574778940497076</v>
      </c>
      <c r="H30" s="24">
        <f t="shared" si="1"/>
        <v>23.025534526551183</v>
      </c>
      <c r="I30" s="24">
        <v>1.7354004120087096</v>
      </c>
      <c r="J30" s="24">
        <v>1.5570499428618643</v>
      </c>
    </row>
    <row r="31" spans="1:10">
      <c r="A31" t="s">
        <v>109</v>
      </c>
      <c r="B31" t="s">
        <v>97</v>
      </c>
      <c r="C31" s="15">
        <v>0.68799999999999994</v>
      </c>
      <c r="D31" s="15">
        <v>-8.8999999999999996E-2</v>
      </c>
      <c r="E31" s="15">
        <v>0.94899999999999995</v>
      </c>
      <c r="F31" s="24">
        <v>2.1440512689765625</v>
      </c>
      <c r="G31" s="24">
        <f t="shared" si="14"/>
        <v>1.1976018634454451</v>
      </c>
      <c r="H31" s="24">
        <f t="shared" si="1"/>
        <v>5.9430069106994035</v>
      </c>
      <c r="I31" s="24">
        <v>1.2952436218719621</v>
      </c>
      <c r="J31" s="24">
        <v>3.3564751508755304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84A5-3262-6B44-A583-38E472B5CAF9}">
  <dimension ref="A1:CY18"/>
  <sheetViews>
    <sheetView zoomScale="101" workbookViewId="0">
      <selection activeCell="B14" sqref="B14"/>
    </sheetView>
  </sheetViews>
  <sheetFormatPr defaultColWidth="8.81640625" defaultRowHeight="14.5"/>
  <sheetData>
    <row r="1" spans="1:103" s="1" customFormat="1" ht="72.5">
      <c r="A1" s="1">
        <v>0</v>
      </c>
      <c r="B1" s="1" t="s">
        <v>6</v>
      </c>
      <c r="C1" s="1" t="s">
        <v>12</v>
      </c>
      <c r="D1" s="16" t="s">
        <v>116</v>
      </c>
      <c r="E1" s="1" t="s">
        <v>7</v>
      </c>
      <c r="F1" s="1" t="s">
        <v>13</v>
      </c>
      <c r="G1" s="16" t="s">
        <v>116</v>
      </c>
      <c r="H1" s="1" t="s">
        <v>8</v>
      </c>
      <c r="I1" s="1" t="s">
        <v>14</v>
      </c>
      <c r="J1" s="16" t="s">
        <v>116</v>
      </c>
      <c r="K1" s="1" t="s">
        <v>9</v>
      </c>
      <c r="L1" s="1" t="s">
        <v>15</v>
      </c>
      <c r="M1" s="16" t="s">
        <v>116</v>
      </c>
      <c r="N1" s="1" t="s">
        <v>10</v>
      </c>
      <c r="O1" s="1" t="s">
        <v>16</v>
      </c>
      <c r="P1" s="16" t="s">
        <v>116</v>
      </c>
      <c r="Q1" s="1" t="s">
        <v>11</v>
      </c>
      <c r="R1" s="1" t="s">
        <v>17</v>
      </c>
      <c r="S1" s="16" t="s">
        <v>116</v>
      </c>
      <c r="T1" s="2" t="s">
        <v>18</v>
      </c>
      <c r="U1" s="2" t="s">
        <v>24</v>
      </c>
      <c r="V1" s="17" t="s">
        <v>116</v>
      </c>
      <c r="W1" s="2" t="s">
        <v>19</v>
      </c>
      <c r="X1" s="2" t="s">
        <v>25</v>
      </c>
      <c r="Y1" s="17" t="s">
        <v>116</v>
      </c>
      <c r="Z1" s="2" t="s">
        <v>20</v>
      </c>
      <c r="AA1" s="2" t="s">
        <v>26</v>
      </c>
      <c r="AB1" s="17" t="s">
        <v>116</v>
      </c>
      <c r="AC1" s="2" t="s">
        <v>21</v>
      </c>
      <c r="AD1" s="2" t="s">
        <v>27</v>
      </c>
      <c r="AE1" s="17" t="s">
        <v>116</v>
      </c>
      <c r="AF1" s="2" t="s">
        <v>22</v>
      </c>
      <c r="AG1" s="2" t="s">
        <v>28</v>
      </c>
      <c r="AH1" s="17" t="s">
        <v>116</v>
      </c>
      <c r="AI1" s="2" t="s">
        <v>23</v>
      </c>
      <c r="AJ1" s="2" t="s">
        <v>29</v>
      </c>
      <c r="AK1" s="17" t="s">
        <v>116</v>
      </c>
      <c r="AL1" s="1">
        <v>0</v>
      </c>
      <c r="AM1" s="1" t="s">
        <v>31</v>
      </c>
      <c r="AN1" s="1" t="s">
        <v>32</v>
      </c>
      <c r="AO1" s="16" t="s">
        <v>116</v>
      </c>
      <c r="AP1" s="1" t="s">
        <v>33</v>
      </c>
      <c r="AQ1" s="1" t="s">
        <v>34</v>
      </c>
      <c r="AR1" s="16" t="s">
        <v>116</v>
      </c>
      <c r="AS1" s="2" t="s">
        <v>35</v>
      </c>
      <c r="AT1" s="2" t="s">
        <v>36</v>
      </c>
      <c r="AU1" s="17" t="s">
        <v>116</v>
      </c>
      <c r="AV1" s="2" t="s">
        <v>37</v>
      </c>
      <c r="AW1" s="2" t="s">
        <v>38</v>
      </c>
      <c r="AX1" s="17" t="s">
        <v>116</v>
      </c>
      <c r="AY1" s="1">
        <v>0</v>
      </c>
      <c r="AZ1" s="1" t="s">
        <v>40</v>
      </c>
      <c r="BA1" s="1" t="s">
        <v>41</v>
      </c>
      <c r="BB1" s="16" t="s">
        <v>116</v>
      </c>
      <c r="BC1" s="1" t="s">
        <v>42</v>
      </c>
      <c r="BD1" s="1" t="s">
        <v>43</v>
      </c>
      <c r="BE1" s="16" t="s">
        <v>116</v>
      </c>
      <c r="BF1" s="1" t="s">
        <v>44</v>
      </c>
      <c r="BG1" s="1" t="s">
        <v>45</v>
      </c>
      <c r="BH1" s="16" t="s">
        <v>116</v>
      </c>
      <c r="BI1" s="2" t="s">
        <v>46</v>
      </c>
      <c r="BJ1" s="2" t="s">
        <v>47</v>
      </c>
      <c r="BK1" s="17" t="s">
        <v>116</v>
      </c>
      <c r="BL1" s="2" t="s">
        <v>48</v>
      </c>
      <c r="BM1" s="2" t="s">
        <v>49</v>
      </c>
      <c r="BN1" s="17" t="s">
        <v>116</v>
      </c>
      <c r="BO1" s="2" t="s">
        <v>50</v>
      </c>
      <c r="BP1" s="2" t="s">
        <v>51</v>
      </c>
      <c r="BQ1" s="17" t="s">
        <v>116</v>
      </c>
      <c r="BR1" s="5">
        <v>0</v>
      </c>
      <c r="BS1" s="5" t="s">
        <v>59</v>
      </c>
      <c r="BT1" s="5" t="s">
        <v>60</v>
      </c>
      <c r="BU1" s="18" t="s">
        <v>116</v>
      </c>
      <c r="BV1" s="6" t="s">
        <v>61</v>
      </c>
      <c r="BW1" s="6" t="s">
        <v>62</v>
      </c>
      <c r="BX1" s="19" t="s">
        <v>116</v>
      </c>
      <c r="BY1" s="1">
        <v>0</v>
      </c>
      <c r="BZ1" s="12" t="s">
        <v>64</v>
      </c>
      <c r="CA1" s="12" t="s">
        <v>65</v>
      </c>
      <c r="CB1" s="1" t="s">
        <v>66</v>
      </c>
      <c r="CC1" s="1" t="s">
        <v>67</v>
      </c>
      <c r="CD1" s="16" t="s">
        <v>116</v>
      </c>
      <c r="CE1" s="12" t="s">
        <v>68</v>
      </c>
      <c r="CF1" s="12" t="s">
        <v>69</v>
      </c>
      <c r="CG1" s="1" t="s">
        <v>70</v>
      </c>
      <c r="CH1" s="1" t="s">
        <v>71</v>
      </c>
      <c r="CI1" s="16" t="s">
        <v>116</v>
      </c>
      <c r="CJ1" s="1" t="s">
        <v>72</v>
      </c>
      <c r="CK1" s="1" t="s">
        <v>119</v>
      </c>
      <c r="CL1" s="16" t="s">
        <v>116</v>
      </c>
      <c r="CM1" s="12" t="s">
        <v>73</v>
      </c>
      <c r="CN1" s="12" t="s">
        <v>74</v>
      </c>
      <c r="CO1" s="2" t="s">
        <v>75</v>
      </c>
      <c r="CP1" s="2" t="s">
        <v>76</v>
      </c>
      <c r="CQ1" s="17" t="s">
        <v>116</v>
      </c>
      <c r="CR1" s="12" t="s">
        <v>77</v>
      </c>
      <c r="CS1" s="12" t="s">
        <v>78</v>
      </c>
      <c r="CT1" s="2" t="s">
        <v>79</v>
      </c>
      <c r="CU1" s="2" t="s">
        <v>80</v>
      </c>
      <c r="CV1" s="17" t="s">
        <v>116</v>
      </c>
      <c r="CW1" s="2" t="s">
        <v>81</v>
      </c>
      <c r="CX1" s="2" t="s">
        <v>82</v>
      </c>
      <c r="CY1" s="16" t="s">
        <v>116</v>
      </c>
    </row>
    <row r="2" spans="1:103">
      <c r="A2" t="s">
        <v>0</v>
      </c>
      <c r="B2">
        <v>-3.5512000000000001</v>
      </c>
      <c r="C2">
        <v>-2.5091000000000001</v>
      </c>
      <c r="D2" s="20">
        <f>C2-B2</f>
        <v>1.0421</v>
      </c>
      <c r="E2">
        <v>16.965199999999999</v>
      </c>
      <c r="F2">
        <v>15.592499999999999</v>
      </c>
      <c r="G2" s="20">
        <f>F2-E2</f>
        <v>-1.3727</v>
      </c>
      <c r="H2">
        <v>-18.975200000000001</v>
      </c>
      <c r="I2">
        <v>-23.378299999999999</v>
      </c>
      <c r="J2" s="20">
        <f>I2-H2</f>
        <v>-4.4030999999999985</v>
      </c>
      <c r="K2">
        <v>11.928100000000001</v>
      </c>
      <c r="L2">
        <v>10.561299999999999</v>
      </c>
      <c r="M2" s="20">
        <f>L2-K2</f>
        <v>-1.3668000000000013</v>
      </c>
      <c r="N2">
        <v>-25.131599999999999</v>
      </c>
      <c r="O2">
        <v>-29.4681</v>
      </c>
      <c r="P2" s="20">
        <f>O2-N2</f>
        <v>-4.3365000000000009</v>
      </c>
      <c r="Q2">
        <v>2.0804</v>
      </c>
      <c r="R2">
        <v>3.7534999999999998</v>
      </c>
      <c r="S2" s="20">
        <f>R2-Q2</f>
        <v>1.6730999999999998</v>
      </c>
      <c r="T2">
        <v>-4.9992000000000001</v>
      </c>
      <c r="U2">
        <v>-8.3742000000000001</v>
      </c>
      <c r="V2" s="20">
        <f>U2-T2</f>
        <v>-3.375</v>
      </c>
      <c r="W2">
        <v>16.284700000000001</v>
      </c>
      <c r="X2">
        <v>15.870200000000001</v>
      </c>
      <c r="Y2" s="20">
        <f>X2-W2</f>
        <v>-0.41450000000000031</v>
      </c>
      <c r="Z2">
        <v>-26.481200000000001</v>
      </c>
      <c r="AA2">
        <v>-20.981300000000001</v>
      </c>
      <c r="AB2" s="20">
        <f>AA2-Z2</f>
        <v>5.4999000000000002</v>
      </c>
      <c r="AC2">
        <v>13.1684</v>
      </c>
      <c r="AD2">
        <v>10.613799999999999</v>
      </c>
      <c r="AE2" s="20">
        <f>AD2-AC2</f>
        <v>-2.5546000000000006</v>
      </c>
      <c r="AF2">
        <v>-33.542999999999999</v>
      </c>
      <c r="AG2">
        <v>-30.444700000000001</v>
      </c>
      <c r="AH2" s="20">
        <f>AG2-AF2</f>
        <v>3.0982999999999983</v>
      </c>
      <c r="AI2">
        <v>3.9123999999999999</v>
      </c>
      <c r="AJ2">
        <v>4.5091000000000001</v>
      </c>
      <c r="AK2">
        <f>AJ2-AI2</f>
        <v>0.59670000000000023</v>
      </c>
      <c r="AL2" t="s">
        <v>0</v>
      </c>
      <c r="AM2">
        <v>-1.6199999999999999E-2</v>
      </c>
      <c r="AN2">
        <v>-2.4199999999999999E-2</v>
      </c>
      <c r="AO2" s="20">
        <f>AN2-AM2</f>
        <v>-8.0000000000000002E-3</v>
      </c>
      <c r="AP2">
        <v>0.39190000000000003</v>
      </c>
      <c r="AQ2">
        <v>0.39600000000000002</v>
      </c>
      <c r="AR2" s="20">
        <f>AQ2-AP2</f>
        <v>4.0999999999999925E-3</v>
      </c>
      <c r="AS2">
        <v>-3.6999999999999998E-2</v>
      </c>
      <c r="AT2">
        <v>-3.5499999999999997E-2</v>
      </c>
      <c r="AU2" s="20">
        <f>AT2-AS2</f>
        <v>1.5000000000000013E-3</v>
      </c>
      <c r="AV2">
        <v>0.39779999999999999</v>
      </c>
      <c r="AW2">
        <v>0.40150000000000002</v>
      </c>
      <c r="AX2" s="20">
        <f>AW2-AV2</f>
        <v>3.7000000000000366E-3</v>
      </c>
      <c r="AY2" t="s">
        <v>52</v>
      </c>
      <c r="AZ2">
        <v>-3.8144999999999998</v>
      </c>
      <c r="BA2">
        <v>-3.5882000000000001</v>
      </c>
      <c r="BB2" s="20">
        <f>BA2-AZ2</f>
        <v>0.22629999999999972</v>
      </c>
      <c r="BC2">
        <v>-2.0373000000000001</v>
      </c>
      <c r="BD2">
        <v>-2.0428999999999999</v>
      </c>
      <c r="BE2" s="20">
        <f>BD2-BC2</f>
        <v>-5.5999999999998273E-3</v>
      </c>
      <c r="BF2">
        <v>-2.6627999999999998</v>
      </c>
      <c r="BG2">
        <v>-2.7136</v>
      </c>
      <c r="BH2" s="20">
        <f>BG2-BF2</f>
        <v>-5.0800000000000178E-2</v>
      </c>
      <c r="BI2">
        <v>-3.8502999999999998</v>
      </c>
      <c r="BJ2">
        <v>-3.7909999999999999</v>
      </c>
      <c r="BK2" s="20">
        <f>BJ2-BI2</f>
        <v>5.9299999999999908E-2</v>
      </c>
      <c r="BL2">
        <v>-1.958</v>
      </c>
      <c r="BM2">
        <v>-1.7813000000000001</v>
      </c>
      <c r="BN2" s="20">
        <f>BM2-BL2</f>
        <v>0.17669999999999986</v>
      </c>
      <c r="BO2">
        <v>-2.8466999999999998</v>
      </c>
      <c r="BP2">
        <v>-2.6913999999999998</v>
      </c>
      <c r="BQ2" s="20">
        <f>BP2-BO2</f>
        <v>0.15529999999999999</v>
      </c>
      <c r="BR2" s="7" t="s">
        <v>0</v>
      </c>
      <c r="BS2" s="7">
        <v>675.31470000000002</v>
      </c>
      <c r="BT2" s="7">
        <v>674.57069999999999</v>
      </c>
      <c r="BU2" s="20">
        <f>BT2-BS2</f>
        <v>-0.74400000000002819</v>
      </c>
      <c r="BV2" s="7">
        <v>599.7319</v>
      </c>
      <c r="BW2" s="7">
        <v>618.54300000000001</v>
      </c>
      <c r="BX2" s="20">
        <f>BW2-BV2</f>
        <v>18.81110000000001</v>
      </c>
      <c r="BY2" t="s">
        <v>0</v>
      </c>
      <c r="BZ2" s="13">
        <v>9.6296999999999997</v>
      </c>
      <c r="CA2" s="13">
        <v>10.4316</v>
      </c>
      <c r="CB2">
        <v>26.879200000000001</v>
      </c>
      <c r="CC2">
        <v>25.423500000000001</v>
      </c>
      <c r="CD2" s="20">
        <f>CC2-CB2</f>
        <v>-1.4557000000000002</v>
      </c>
      <c r="CE2" s="13">
        <v>9.6463999999999999</v>
      </c>
      <c r="CF2" s="13">
        <v>10.098000000000001</v>
      </c>
      <c r="CG2">
        <v>114.97799999999999</v>
      </c>
      <c r="CH2">
        <v>112.5474</v>
      </c>
      <c r="CI2" s="20">
        <f>CH2-CG2</f>
        <v>-2.4305999999999983</v>
      </c>
      <c r="CJ2" s="8">
        <v>40.025700000000001</v>
      </c>
      <c r="CK2" s="8">
        <v>39.323999999999998</v>
      </c>
      <c r="CL2" s="8">
        <f>CK2-CJ2</f>
        <v>-0.70170000000000243</v>
      </c>
      <c r="CM2" s="13">
        <v>13.0137</v>
      </c>
      <c r="CN2" s="13">
        <v>13.0822</v>
      </c>
      <c r="CO2">
        <v>26.946300000000001</v>
      </c>
      <c r="CP2">
        <v>25.3993</v>
      </c>
      <c r="CQ2" s="20">
        <f>CP2-CO2</f>
        <v>-1.5470000000000006</v>
      </c>
      <c r="CR2" s="13">
        <v>10.4245</v>
      </c>
      <c r="CS2" s="13">
        <v>11.3695</v>
      </c>
      <c r="CT2">
        <v>106.0836</v>
      </c>
      <c r="CU2">
        <v>106.1178</v>
      </c>
      <c r="CV2" s="20">
        <f>CU2-CT2</f>
        <v>3.4199999999998454E-2</v>
      </c>
      <c r="CW2" s="8">
        <v>41.130600000000001</v>
      </c>
      <c r="CX2" s="8">
        <v>39.864400000000003</v>
      </c>
      <c r="CY2" s="20">
        <f>CX2-CW2</f>
        <v>-1.2661999999999978</v>
      </c>
    </row>
    <row r="3" spans="1:103">
      <c r="A3" t="s">
        <v>1</v>
      </c>
      <c r="B3">
        <v>-8.4513999999999996</v>
      </c>
      <c r="C3">
        <v>-7.7828999999999997</v>
      </c>
      <c r="D3" s="20">
        <f t="shared" ref="D3:D7" si="0">C3-B3</f>
        <v>0.66849999999999987</v>
      </c>
      <c r="E3">
        <v>20.190100000000001</v>
      </c>
      <c r="F3">
        <v>20.648599999999998</v>
      </c>
      <c r="G3" s="20">
        <f t="shared" ref="G3:G7" si="1">F3-E3</f>
        <v>0.45849999999999724</v>
      </c>
      <c r="H3">
        <v>-28.994900000000001</v>
      </c>
      <c r="I3">
        <v>-30.5733</v>
      </c>
      <c r="J3" s="20">
        <f t="shared" ref="J3:J7" si="2">I3-H3</f>
        <v>-1.5783999999999985</v>
      </c>
      <c r="K3">
        <v>9.8308999999999997</v>
      </c>
      <c r="L3">
        <v>9.4831000000000003</v>
      </c>
      <c r="M3" s="20">
        <f t="shared" ref="M3:M7" si="3">L3-K3</f>
        <v>-0.34779999999999944</v>
      </c>
      <c r="N3">
        <v>-40.819600000000001</v>
      </c>
      <c r="O3">
        <v>-36.913499999999999</v>
      </c>
      <c r="P3" s="20">
        <f t="shared" ref="P3:P7" si="4">O3-N3</f>
        <v>3.9061000000000021</v>
      </c>
      <c r="Q3">
        <v>11.6105</v>
      </c>
      <c r="R3">
        <v>11.631600000000001</v>
      </c>
      <c r="S3" s="20">
        <f t="shared" ref="S3:S7" si="5">R3-Q3</f>
        <v>2.1100000000000563E-2</v>
      </c>
      <c r="T3">
        <v>-6.9448999999999996</v>
      </c>
      <c r="U3">
        <v>-10.5078</v>
      </c>
      <c r="V3" s="20">
        <f t="shared" ref="V3:V7" si="6">U3-T3</f>
        <v>-3.5629</v>
      </c>
      <c r="W3">
        <v>24.020700000000001</v>
      </c>
      <c r="X3">
        <v>24.444299999999998</v>
      </c>
      <c r="Y3" s="20">
        <f t="shared" ref="Y3:Y7" si="7">X3-W3</f>
        <v>0.42359999999999687</v>
      </c>
      <c r="Z3">
        <v>-35.100299999999997</v>
      </c>
      <c r="AA3">
        <v>-34.525199999999998</v>
      </c>
      <c r="AB3" s="20">
        <f t="shared" ref="AB3:AB7" si="8">AA3-Z3</f>
        <v>0.57509999999999906</v>
      </c>
      <c r="AC3">
        <v>9.2903000000000002</v>
      </c>
      <c r="AD3">
        <v>8.2186000000000003</v>
      </c>
      <c r="AE3" s="20">
        <f t="shared" ref="AE3:AE7" si="9">AD3-AC3</f>
        <v>-1.0716999999999999</v>
      </c>
      <c r="AF3">
        <v>-36.6907</v>
      </c>
      <c r="AG3">
        <v>-29.194400000000002</v>
      </c>
      <c r="AH3" s="20">
        <f t="shared" ref="AH3:AH7" si="10">AG3-AF3</f>
        <v>7.496299999999998</v>
      </c>
      <c r="AI3">
        <v>12.4528</v>
      </c>
      <c r="AJ3">
        <v>12.9825</v>
      </c>
      <c r="AK3">
        <f t="shared" ref="AK3:AK7" si="11">AJ3-AI3</f>
        <v>0.52970000000000006</v>
      </c>
      <c r="AL3" t="s">
        <v>1</v>
      </c>
      <c r="AM3">
        <v>-0.1288</v>
      </c>
      <c r="AN3">
        <v>-0.1363</v>
      </c>
      <c r="AO3" s="20">
        <f t="shared" ref="AO3:AO7" si="12">AN3-AM3</f>
        <v>-7.5000000000000067E-3</v>
      </c>
      <c r="AP3">
        <v>0.42720000000000002</v>
      </c>
      <c r="AQ3">
        <v>0.42620000000000002</v>
      </c>
      <c r="AR3" s="20">
        <f t="shared" ref="AR3:AR7" si="13">AQ3-AP3</f>
        <v>-1.0000000000000009E-3</v>
      </c>
      <c r="AS3">
        <v>-0.126</v>
      </c>
      <c r="AT3">
        <v>-0.12659999999999999</v>
      </c>
      <c r="AU3" s="20">
        <f t="shared" ref="AU3:AU7" si="14">AT3-AS3</f>
        <v>-5.9999999999998943E-4</v>
      </c>
      <c r="AV3">
        <v>0.42109999999999997</v>
      </c>
      <c r="AW3">
        <v>0.42659999999999998</v>
      </c>
      <c r="AX3" s="20">
        <f t="shared" ref="AX3:AX7" si="15">AW3-AV3</f>
        <v>5.5000000000000049E-3</v>
      </c>
      <c r="AY3" t="s">
        <v>53</v>
      </c>
      <c r="AZ3">
        <v>-4.6233000000000004</v>
      </c>
      <c r="BA3">
        <v>-4.5065999999999997</v>
      </c>
      <c r="BB3" s="20">
        <f t="shared" ref="BB3:BB7" si="16">BA3-AZ3</f>
        <v>0.11670000000000069</v>
      </c>
      <c r="BC3">
        <v>-2.1429999999999998</v>
      </c>
      <c r="BD3">
        <v>-2.0706000000000002</v>
      </c>
      <c r="BE3" s="20">
        <f t="shared" ref="BE3:BE7" si="17">BD3-BC3</f>
        <v>7.2399999999999576E-2</v>
      </c>
      <c r="BF3">
        <v>-3.0356000000000001</v>
      </c>
      <c r="BG3">
        <v>-3.0070000000000001</v>
      </c>
      <c r="BH3" s="20">
        <f t="shared" ref="BH3:BH7" si="18">BG3-BF3</f>
        <v>2.8599999999999959E-2</v>
      </c>
      <c r="BI3">
        <v>-4.5590000000000002</v>
      </c>
      <c r="BJ3">
        <v>-4.6566999999999998</v>
      </c>
      <c r="BK3" s="20">
        <f t="shared" ref="BK3:BK7" si="19">BJ3-BI3</f>
        <v>-9.7699999999999676E-2</v>
      </c>
      <c r="BL3">
        <v>-2.0731000000000002</v>
      </c>
      <c r="BM3">
        <v>-2.1612</v>
      </c>
      <c r="BN3" s="20">
        <f t="shared" ref="BN3:BN7" si="20">BM3-BL3</f>
        <v>-8.8099999999999845E-2</v>
      </c>
      <c r="BO3">
        <v>-2.3237000000000001</v>
      </c>
      <c r="BP3">
        <v>-2.7128999999999999</v>
      </c>
      <c r="BQ3" s="20">
        <f t="shared" ref="BQ3:BQ7" si="21">BP3-BO3</f>
        <v>-0.38919999999999977</v>
      </c>
      <c r="BR3" s="7" t="s">
        <v>1</v>
      </c>
      <c r="BS3" s="7">
        <v>693.98630000000003</v>
      </c>
      <c r="BT3" s="7">
        <v>690.19129999999996</v>
      </c>
      <c r="BU3" s="20">
        <f t="shared" ref="BU3:BU7" si="22">BT3-BS3</f>
        <v>-3.7950000000000728</v>
      </c>
      <c r="BV3" s="7">
        <v>711.6309</v>
      </c>
      <c r="BW3" s="7">
        <v>694.59199999999998</v>
      </c>
      <c r="BX3" s="20">
        <f t="shared" ref="BX3:BX7" si="23">BW3-BV3</f>
        <v>-17.038900000000012</v>
      </c>
      <c r="BY3" t="s">
        <v>1</v>
      </c>
      <c r="BZ3" s="13">
        <v>-1.8280000000000001</v>
      </c>
      <c r="CA3" s="13">
        <v>-2.3900999999999999</v>
      </c>
      <c r="CB3">
        <v>24.877600000000001</v>
      </c>
      <c r="CC3">
        <v>23.7136</v>
      </c>
      <c r="CD3" s="20">
        <f t="shared" ref="CD3:CD7" si="24">CC3-CB3</f>
        <v>-1.1640000000000015</v>
      </c>
      <c r="CE3" s="13">
        <v>15.472</v>
      </c>
      <c r="CF3" s="13">
        <v>13.755800000000001</v>
      </c>
      <c r="CG3">
        <v>117.4551</v>
      </c>
      <c r="CH3">
        <v>117.16930000000001</v>
      </c>
      <c r="CI3" s="20">
        <f t="shared" ref="CI3:CI7" si="25">CH3-CG3</f>
        <v>-0.28579999999999472</v>
      </c>
      <c r="CJ3" s="8">
        <v>42.975000000000001</v>
      </c>
      <c r="CK3" s="8">
        <v>41.198300000000003</v>
      </c>
      <c r="CL3" s="8">
        <f t="shared" ref="CL3:CL7" si="26">CK3-CJ3</f>
        <v>-1.7766999999999982</v>
      </c>
      <c r="CM3" s="13">
        <v>-0.89870000000000005</v>
      </c>
      <c r="CN3" s="13">
        <v>-1.2849999999999999</v>
      </c>
      <c r="CO3">
        <v>22.968800000000002</v>
      </c>
      <c r="CP3">
        <v>25.115400000000001</v>
      </c>
      <c r="CQ3" s="20">
        <f t="shared" ref="CQ3:CQ7" si="27">CP3-CO3</f>
        <v>2.1465999999999994</v>
      </c>
      <c r="CR3" s="13">
        <v>15.6799</v>
      </c>
      <c r="CS3" s="13">
        <v>14.928100000000001</v>
      </c>
      <c r="CT3">
        <v>120.6657</v>
      </c>
      <c r="CU3">
        <v>119.6931</v>
      </c>
      <c r="CV3" s="20">
        <f t="shared" ref="CV3:CV7" si="28">CU3-CT3</f>
        <v>-0.97259999999999991</v>
      </c>
      <c r="CW3" s="8">
        <v>38.832999999999998</v>
      </c>
      <c r="CX3" s="8">
        <v>40.686999999999998</v>
      </c>
      <c r="CY3" s="20">
        <f t="shared" ref="CY3:CY7" si="29">CX3-CW3</f>
        <v>1.8539999999999992</v>
      </c>
    </row>
    <row r="4" spans="1:103">
      <c r="A4" t="s">
        <v>2</v>
      </c>
      <c r="B4">
        <v>-15.9283</v>
      </c>
      <c r="C4">
        <v>-8.1888000000000005</v>
      </c>
      <c r="D4" s="20">
        <f t="shared" si="0"/>
        <v>7.7394999999999996</v>
      </c>
      <c r="E4">
        <v>16.160299999999999</v>
      </c>
      <c r="F4">
        <v>19.122699999999998</v>
      </c>
      <c r="G4" s="20">
        <f t="shared" si="1"/>
        <v>2.9623999999999988</v>
      </c>
      <c r="H4">
        <v>-24.040199999999999</v>
      </c>
      <c r="I4">
        <v>-34.686599999999999</v>
      </c>
      <c r="J4" s="20">
        <f t="shared" si="2"/>
        <v>-10.6464</v>
      </c>
      <c r="K4">
        <v>7.2828999999999997</v>
      </c>
      <c r="L4">
        <v>9.4208999999999996</v>
      </c>
      <c r="M4" s="20">
        <f t="shared" si="3"/>
        <v>2.1379999999999999</v>
      </c>
      <c r="N4">
        <v>-38.206400000000002</v>
      </c>
      <c r="O4">
        <v>-30.507200000000001</v>
      </c>
      <c r="P4" s="20">
        <f t="shared" si="4"/>
        <v>7.6992000000000012</v>
      </c>
      <c r="Q4">
        <v>11.2136</v>
      </c>
      <c r="R4">
        <v>12.63</v>
      </c>
      <c r="S4" s="20">
        <f t="shared" si="5"/>
        <v>1.4164000000000012</v>
      </c>
      <c r="T4">
        <v>-4.2774999999999999</v>
      </c>
      <c r="U4">
        <v>-8.5509000000000004</v>
      </c>
      <c r="V4" s="20">
        <f t="shared" si="6"/>
        <v>-4.2734000000000005</v>
      </c>
      <c r="W4">
        <v>19.466699999999999</v>
      </c>
      <c r="X4">
        <v>21.459800000000001</v>
      </c>
      <c r="Y4" s="20">
        <f t="shared" si="7"/>
        <v>1.9931000000000019</v>
      </c>
      <c r="Z4">
        <v>-33.9343</v>
      </c>
      <c r="AA4">
        <v>-32.490499999999997</v>
      </c>
      <c r="AB4" s="20">
        <f t="shared" si="8"/>
        <v>1.4438000000000031</v>
      </c>
      <c r="AC4">
        <v>12.760999999999999</v>
      </c>
      <c r="AD4">
        <v>10.961600000000001</v>
      </c>
      <c r="AE4" s="20">
        <f t="shared" si="9"/>
        <v>-1.7993999999999986</v>
      </c>
      <c r="AF4">
        <v>-48.528599999999997</v>
      </c>
      <c r="AG4">
        <v>-33.357799999999997</v>
      </c>
      <c r="AH4" s="20">
        <f t="shared" si="10"/>
        <v>15.1708</v>
      </c>
      <c r="AI4">
        <v>11.693199999999999</v>
      </c>
      <c r="AJ4">
        <v>10.857200000000001</v>
      </c>
      <c r="AK4">
        <f t="shared" si="11"/>
        <v>-0.83599999999999852</v>
      </c>
      <c r="AL4" t="s">
        <v>2</v>
      </c>
      <c r="AM4">
        <v>-0.1401</v>
      </c>
      <c r="AN4">
        <v>-0.1308</v>
      </c>
      <c r="AO4" s="20">
        <f t="shared" si="12"/>
        <v>9.3000000000000027E-3</v>
      </c>
      <c r="AP4">
        <v>0.4088</v>
      </c>
      <c r="AQ4">
        <v>0.40400000000000003</v>
      </c>
      <c r="AR4" s="20">
        <f t="shared" si="13"/>
        <v>-4.799999999999971E-3</v>
      </c>
      <c r="AS4">
        <v>-0.12089999999999999</v>
      </c>
      <c r="AT4">
        <v>-0.1249</v>
      </c>
      <c r="AU4" s="20">
        <f t="shared" si="14"/>
        <v>-4.0000000000000036E-3</v>
      </c>
      <c r="AV4">
        <v>0.41909999999999997</v>
      </c>
      <c r="AW4">
        <v>0.41610000000000003</v>
      </c>
      <c r="AX4" s="20">
        <f t="shared" si="15"/>
        <v>-2.9999999999999472E-3</v>
      </c>
      <c r="AY4" t="s">
        <v>54</v>
      </c>
      <c r="AZ4">
        <v>-4.2512999999999996</v>
      </c>
      <c r="BA4">
        <v>-4.4954000000000001</v>
      </c>
      <c r="BB4" s="20">
        <f t="shared" si="16"/>
        <v>-0.24410000000000043</v>
      </c>
      <c r="BC4">
        <v>-1.6117999999999999</v>
      </c>
      <c r="BD4">
        <v>-1.8099000000000001</v>
      </c>
      <c r="BE4" s="20">
        <f t="shared" si="17"/>
        <v>-0.19810000000000016</v>
      </c>
      <c r="BF4">
        <v>-2.3860999999999999</v>
      </c>
      <c r="BG4">
        <v>-2.4702999999999999</v>
      </c>
      <c r="BH4" s="20">
        <f t="shared" si="18"/>
        <v>-8.4200000000000053E-2</v>
      </c>
      <c r="BI4">
        <v>-4.2683999999999997</v>
      </c>
      <c r="BJ4">
        <v>-4.3228999999999997</v>
      </c>
      <c r="BK4" s="20">
        <f t="shared" si="19"/>
        <v>-5.4499999999999993E-2</v>
      </c>
      <c r="BL4">
        <v>-1.7878000000000001</v>
      </c>
      <c r="BM4">
        <v>-1.5837000000000001</v>
      </c>
      <c r="BN4" s="20">
        <f t="shared" si="20"/>
        <v>0.20409999999999995</v>
      </c>
      <c r="BO4">
        <v>-2.7273999999999998</v>
      </c>
      <c r="BP4">
        <v>-2.3435000000000001</v>
      </c>
      <c r="BQ4" s="20">
        <f t="shared" si="21"/>
        <v>0.38389999999999969</v>
      </c>
      <c r="BR4" s="7" t="s">
        <v>2</v>
      </c>
      <c r="BS4" s="7">
        <v>598.66899999999998</v>
      </c>
      <c r="BT4" s="7">
        <v>603.60720000000003</v>
      </c>
      <c r="BU4" s="20">
        <f t="shared" si="22"/>
        <v>4.9382000000000517</v>
      </c>
      <c r="BV4" s="7">
        <v>609.09829999999999</v>
      </c>
      <c r="BW4" s="7">
        <v>609.57989999999995</v>
      </c>
      <c r="BX4" s="20">
        <f t="shared" si="23"/>
        <v>0.48159999999995762</v>
      </c>
      <c r="BY4" t="s">
        <v>2</v>
      </c>
      <c r="BZ4" s="13">
        <v>-0.4531</v>
      </c>
      <c r="CA4" s="13">
        <v>-1.329</v>
      </c>
      <c r="CB4">
        <v>24.260100000000001</v>
      </c>
      <c r="CC4">
        <v>22.967700000000001</v>
      </c>
      <c r="CD4" s="20">
        <f t="shared" si="24"/>
        <v>-1.2924000000000007</v>
      </c>
      <c r="CE4" s="13">
        <v>14.0365</v>
      </c>
      <c r="CF4" s="13">
        <v>14.1881</v>
      </c>
      <c r="CG4">
        <v>113.4755</v>
      </c>
      <c r="CH4">
        <v>117.845</v>
      </c>
      <c r="CI4" s="20">
        <f t="shared" si="25"/>
        <v>4.3695000000000022</v>
      </c>
      <c r="CJ4" s="8">
        <v>36.828099999999999</v>
      </c>
      <c r="CK4" s="8">
        <v>37.734200000000001</v>
      </c>
      <c r="CL4" s="8">
        <f t="shared" si="26"/>
        <v>0.90610000000000213</v>
      </c>
      <c r="CM4" s="13">
        <v>-1.0127999999999999</v>
      </c>
      <c r="CN4" s="13">
        <v>-2.9868999999999999</v>
      </c>
      <c r="CO4">
        <v>24.3781</v>
      </c>
      <c r="CP4">
        <v>22.945399999999999</v>
      </c>
      <c r="CQ4" s="20">
        <f t="shared" si="27"/>
        <v>-1.4327000000000005</v>
      </c>
      <c r="CR4" s="13">
        <v>14.832800000000001</v>
      </c>
      <c r="CS4" s="13">
        <v>13.7043</v>
      </c>
      <c r="CT4">
        <v>105.47839999999999</v>
      </c>
      <c r="CU4">
        <v>108.0421</v>
      </c>
      <c r="CV4" s="20">
        <f t="shared" si="28"/>
        <v>2.5637000000000114</v>
      </c>
      <c r="CW4" s="8">
        <v>38.423299999999998</v>
      </c>
      <c r="CX4" s="8">
        <v>37.145899999999997</v>
      </c>
      <c r="CY4" s="20">
        <f t="shared" si="29"/>
        <v>-1.2774000000000001</v>
      </c>
    </row>
    <row r="5" spans="1:103">
      <c r="A5" t="s">
        <v>3</v>
      </c>
      <c r="B5">
        <v>-8.7658000000000005</v>
      </c>
      <c r="C5">
        <v>-10.1944</v>
      </c>
      <c r="D5" s="20">
        <f t="shared" si="0"/>
        <v>-1.4285999999999994</v>
      </c>
      <c r="E5">
        <v>19.066299999999998</v>
      </c>
      <c r="F5">
        <v>20.604700000000001</v>
      </c>
      <c r="G5" s="20">
        <f t="shared" si="1"/>
        <v>1.5384000000000029</v>
      </c>
      <c r="H5">
        <v>-29.626300000000001</v>
      </c>
      <c r="I5">
        <v>-34.453699999999998</v>
      </c>
      <c r="J5" s="20">
        <f t="shared" si="2"/>
        <v>-4.8273999999999972</v>
      </c>
      <c r="K5">
        <v>10.7966</v>
      </c>
      <c r="L5">
        <v>10.3803</v>
      </c>
      <c r="M5" s="20">
        <f t="shared" si="3"/>
        <v>-0.41629999999999967</v>
      </c>
      <c r="N5">
        <v>-32.269599999999997</v>
      </c>
      <c r="O5">
        <v>-34.8917</v>
      </c>
      <c r="P5" s="20">
        <f t="shared" si="4"/>
        <v>-2.6221000000000032</v>
      </c>
      <c r="Q5">
        <v>9.4794</v>
      </c>
      <c r="R5">
        <v>13.446300000000001</v>
      </c>
      <c r="S5" s="20">
        <f t="shared" si="5"/>
        <v>3.9669000000000008</v>
      </c>
      <c r="T5">
        <v>-9.7789999999999999</v>
      </c>
      <c r="U5">
        <v>-11.3995</v>
      </c>
      <c r="V5" s="20">
        <f t="shared" si="6"/>
        <v>-1.6204999999999998</v>
      </c>
      <c r="W5">
        <v>17.654199999999999</v>
      </c>
      <c r="X5">
        <v>18.137599999999999</v>
      </c>
      <c r="Y5" s="20">
        <f t="shared" si="7"/>
        <v>0.48339999999999961</v>
      </c>
      <c r="Z5">
        <v>-27.9268</v>
      </c>
      <c r="AA5">
        <v>-31.923100000000002</v>
      </c>
      <c r="AB5" s="20">
        <f t="shared" si="8"/>
        <v>-3.9963000000000015</v>
      </c>
      <c r="AC5">
        <v>10.4917</v>
      </c>
      <c r="AD5">
        <v>12.026899999999999</v>
      </c>
      <c r="AE5" s="20">
        <f t="shared" si="9"/>
        <v>1.5351999999999997</v>
      </c>
      <c r="AF5">
        <v>-29.5398</v>
      </c>
      <c r="AG5">
        <v>-37.2849</v>
      </c>
      <c r="AH5" s="20">
        <f t="shared" si="10"/>
        <v>-7.7451000000000008</v>
      </c>
      <c r="AI5">
        <v>9.2141000000000002</v>
      </c>
      <c r="AJ5">
        <v>13.035299999999999</v>
      </c>
      <c r="AK5">
        <f t="shared" si="11"/>
        <v>3.8211999999999993</v>
      </c>
      <c r="AL5" t="s">
        <v>3</v>
      </c>
      <c r="AM5">
        <v>-2.1999999999999999E-2</v>
      </c>
      <c r="AN5">
        <v>-2.4199999999999999E-2</v>
      </c>
      <c r="AO5" s="20">
        <f t="shared" si="12"/>
        <v>-2.2000000000000006E-3</v>
      </c>
      <c r="AP5">
        <v>0.34520000000000001</v>
      </c>
      <c r="AQ5">
        <v>0.34620000000000001</v>
      </c>
      <c r="AR5" s="20">
        <f t="shared" si="13"/>
        <v>1.0000000000000009E-3</v>
      </c>
      <c r="AS5">
        <v>-3.78E-2</v>
      </c>
      <c r="AT5">
        <v>-3.3700000000000001E-2</v>
      </c>
      <c r="AU5" s="20">
        <f t="shared" si="14"/>
        <v>4.0999999999999995E-3</v>
      </c>
      <c r="AV5">
        <v>0.34460000000000002</v>
      </c>
      <c r="AW5">
        <v>0.34189999999999998</v>
      </c>
      <c r="AX5" s="20">
        <f t="shared" si="15"/>
        <v>-2.7000000000000357E-3</v>
      </c>
      <c r="AY5" t="s">
        <v>55</v>
      </c>
      <c r="AZ5">
        <v>-3.8399000000000001</v>
      </c>
      <c r="BA5">
        <v>-3.9874000000000001</v>
      </c>
      <c r="BB5" s="20">
        <f t="shared" si="16"/>
        <v>-0.14749999999999996</v>
      </c>
      <c r="BC5">
        <v>-1.8320000000000001</v>
      </c>
      <c r="BD5">
        <v>-2.0514000000000001</v>
      </c>
      <c r="BE5" s="20">
        <f t="shared" si="17"/>
        <v>-0.21940000000000004</v>
      </c>
      <c r="BF5">
        <v>-2.6448</v>
      </c>
      <c r="BG5">
        <v>-2.5880000000000001</v>
      </c>
      <c r="BH5" s="20">
        <f t="shared" si="18"/>
        <v>5.6799999999999962E-2</v>
      </c>
      <c r="BI5">
        <v>-3.8351000000000002</v>
      </c>
      <c r="BJ5">
        <v>-3.8904000000000001</v>
      </c>
      <c r="BK5" s="20">
        <f t="shared" si="19"/>
        <v>-5.5299999999999905E-2</v>
      </c>
      <c r="BL5">
        <v>-1.8660000000000001</v>
      </c>
      <c r="BM5">
        <v>-1.8758999999999999</v>
      </c>
      <c r="BN5" s="20">
        <f t="shared" si="20"/>
        <v>-9.8999999999997979E-3</v>
      </c>
      <c r="BO5">
        <v>-2.3254000000000001</v>
      </c>
      <c r="BP5">
        <v>-2.3121999999999998</v>
      </c>
      <c r="BQ5" s="20">
        <f t="shared" si="21"/>
        <v>1.3200000000000323E-2</v>
      </c>
      <c r="BR5" s="7" t="s">
        <v>3</v>
      </c>
      <c r="BS5" s="7">
        <v>702.67759999999998</v>
      </c>
      <c r="BT5" s="7">
        <v>730.62710000000004</v>
      </c>
      <c r="BU5" s="20">
        <f t="shared" si="22"/>
        <v>27.949500000000057</v>
      </c>
      <c r="BV5" s="7">
        <v>686.63049999999998</v>
      </c>
      <c r="BW5" s="7">
        <v>686.62649999999996</v>
      </c>
      <c r="BX5" s="20">
        <f t="shared" si="23"/>
        <v>-4.0000000000190994E-3</v>
      </c>
      <c r="BY5" t="s">
        <v>3</v>
      </c>
      <c r="BZ5" s="13">
        <v>7.8963999999999999</v>
      </c>
      <c r="CA5" s="13">
        <v>6.4328000000000003</v>
      </c>
      <c r="CB5">
        <v>25.956399999999999</v>
      </c>
      <c r="CC5">
        <v>25.629899999999999</v>
      </c>
      <c r="CD5" s="20">
        <f t="shared" si="24"/>
        <v>-0.32649999999999935</v>
      </c>
      <c r="CE5" s="13">
        <v>14.8062</v>
      </c>
      <c r="CF5" s="13">
        <v>11.571999999999999</v>
      </c>
      <c r="CG5">
        <v>104.1074</v>
      </c>
      <c r="CH5">
        <v>102.3282</v>
      </c>
      <c r="CI5" s="20">
        <f t="shared" si="25"/>
        <v>-1.779200000000003</v>
      </c>
      <c r="CJ5" s="8">
        <v>41.295999999999999</v>
      </c>
      <c r="CK5" s="8">
        <v>40.606400000000001</v>
      </c>
      <c r="CL5" s="8">
        <f t="shared" si="26"/>
        <v>-0.68959999999999866</v>
      </c>
      <c r="CM5" s="13">
        <v>7.4474</v>
      </c>
      <c r="CN5" s="13">
        <v>4.0753000000000004</v>
      </c>
      <c r="CO5">
        <v>25.253399999999999</v>
      </c>
      <c r="CP5">
        <v>23.824100000000001</v>
      </c>
      <c r="CQ5" s="20">
        <f t="shared" si="27"/>
        <v>-1.4292999999999978</v>
      </c>
      <c r="CR5" s="13">
        <v>15.7692</v>
      </c>
      <c r="CS5" s="13">
        <v>15.224600000000001</v>
      </c>
      <c r="CT5">
        <v>100.7954</v>
      </c>
      <c r="CU5">
        <v>101.61879999999999</v>
      </c>
      <c r="CV5" s="20">
        <f t="shared" si="28"/>
        <v>0.82339999999999236</v>
      </c>
      <c r="CW5" s="8">
        <v>40.316200000000002</v>
      </c>
      <c r="CX5" s="8">
        <v>39.437600000000003</v>
      </c>
      <c r="CY5" s="20">
        <f t="shared" si="29"/>
        <v>-0.87859999999999872</v>
      </c>
    </row>
    <row r="6" spans="1:103">
      <c r="A6" t="s">
        <v>4</v>
      </c>
      <c r="B6">
        <v>-11.326000000000001</v>
      </c>
      <c r="C6">
        <v>-9.0276999999999994</v>
      </c>
      <c r="D6" s="20">
        <f t="shared" si="0"/>
        <v>2.2983000000000011</v>
      </c>
      <c r="E6">
        <v>20.912099999999999</v>
      </c>
      <c r="F6">
        <v>20.101500000000001</v>
      </c>
      <c r="G6" s="20">
        <f t="shared" si="1"/>
        <v>-0.81059999999999732</v>
      </c>
      <c r="H6">
        <v>-31.008700000000001</v>
      </c>
      <c r="I6">
        <v>-34.852600000000002</v>
      </c>
      <c r="J6" s="20">
        <f t="shared" si="2"/>
        <v>-3.8439000000000014</v>
      </c>
      <c r="K6">
        <v>10.8177</v>
      </c>
      <c r="L6">
        <v>13.041499999999999</v>
      </c>
      <c r="M6" s="20">
        <f t="shared" si="3"/>
        <v>2.2237999999999989</v>
      </c>
      <c r="N6">
        <v>-32.376199999999997</v>
      </c>
      <c r="O6">
        <v>-24.7942</v>
      </c>
      <c r="P6" s="20">
        <f t="shared" si="4"/>
        <v>7.5819999999999972</v>
      </c>
      <c r="Q6">
        <v>5.6333000000000002</v>
      </c>
      <c r="R6">
        <v>5.8731</v>
      </c>
      <c r="S6" s="20">
        <f t="shared" si="5"/>
        <v>0.23979999999999979</v>
      </c>
      <c r="T6">
        <v>-5.4283999999999999</v>
      </c>
      <c r="U6">
        <v>-11.751200000000001</v>
      </c>
      <c r="V6" s="20">
        <f t="shared" si="6"/>
        <v>-6.3228000000000009</v>
      </c>
      <c r="W6">
        <v>19.572500000000002</v>
      </c>
      <c r="X6">
        <v>20.8856</v>
      </c>
      <c r="Y6" s="20">
        <f t="shared" si="7"/>
        <v>1.3130999999999986</v>
      </c>
      <c r="Z6">
        <v>-30.3277</v>
      </c>
      <c r="AA6">
        <v>-23.183700000000002</v>
      </c>
      <c r="AB6" s="20">
        <f t="shared" si="8"/>
        <v>7.1439999999999984</v>
      </c>
      <c r="AC6">
        <v>10.530200000000001</v>
      </c>
      <c r="AD6">
        <v>13.0402</v>
      </c>
      <c r="AE6" s="20">
        <f t="shared" si="9"/>
        <v>2.5099999999999998</v>
      </c>
      <c r="AF6">
        <v>-21.195399999999999</v>
      </c>
      <c r="AG6">
        <v>-18.7562</v>
      </c>
      <c r="AH6" s="20">
        <f t="shared" si="10"/>
        <v>2.4391999999999996</v>
      </c>
      <c r="AI6">
        <v>4.3018000000000001</v>
      </c>
      <c r="AJ6">
        <v>5.2808000000000002</v>
      </c>
      <c r="AK6">
        <f t="shared" si="11"/>
        <v>0.97900000000000009</v>
      </c>
      <c r="AL6" t="s">
        <v>4</v>
      </c>
      <c r="AM6">
        <v>-5.3499999999999999E-2</v>
      </c>
      <c r="AN6">
        <v>-6.4199999999999993E-2</v>
      </c>
      <c r="AO6" s="20">
        <f t="shared" si="12"/>
        <v>-1.0699999999999994E-2</v>
      </c>
      <c r="AP6">
        <v>0.4385</v>
      </c>
      <c r="AQ6">
        <v>0.4385</v>
      </c>
      <c r="AR6" s="20">
        <f t="shared" si="13"/>
        <v>0</v>
      </c>
      <c r="AS6">
        <v>-0.1104</v>
      </c>
      <c r="AT6">
        <v>-0.10340000000000001</v>
      </c>
      <c r="AU6" s="20">
        <f t="shared" si="14"/>
        <v>6.9999999999999923E-3</v>
      </c>
      <c r="AV6">
        <v>0.39169999999999999</v>
      </c>
      <c r="AW6">
        <v>0.37759999999999999</v>
      </c>
      <c r="AX6" s="20">
        <f t="shared" si="15"/>
        <v>-1.4100000000000001E-2</v>
      </c>
      <c r="AY6" t="s">
        <v>56</v>
      </c>
      <c r="AZ6">
        <v>-4.4505999999999997</v>
      </c>
      <c r="BA6">
        <v>-4.2122000000000002</v>
      </c>
      <c r="BB6" s="20">
        <f t="shared" si="16"/>
        <v>0.2383999999999995</v>
      </c>
      <c r="BC6">
        <v>-1.3866000000000001</v>
      </c>
      <c r="BD6">
        <v>-1.4834000000000001</v>
      </c>
      <c r="BE6" s="20">
        <f t="shared" si="17"/>
        <v>-9.6799999999999997E-2</v>
      </c>
      <c r="BF6">
        <v>-2.9053</v>
      </c>
      <c r="BG6">
        <v>-2.6880999999999999</v>
      </c>
      <c r="BH6" s="20">
        <f t="shared" si="18"/>
        <v>0.21720000000000006</v>
      </c>
      <c r="BI6">
        <v>-4.4263000000000003</v>
      </c>
      <c r="BJ6">
        <v>-4.3144</v>
      </c>
      <c r="BK6" s="20">
        <f t="shared" si="19"/>
        <v>0.11190000000000033</v>
      </c>
      <c r="BL6">
        <v>-1.1557999999999999</v>
      </c>
      <c r="BM6">
        <v>-1.3996999999999999</v>
      </c>
      <c r="BN6" s="20">
        <f t="shared" si="20"/>
        <v>-0.24390000000000001</v>
      </c>
      <c r="BO6">
        <v>-2.5358000000000001</v>
      </c>
      <c r="BP6">
        <v>-2.3426999999999998</v>
      </c>
      <c r="BQ6" s="20">
        <f t="shared" si="21"/>
        <v>0.19310000000000027</v>
      </c>
      <c r="BR6" s="7" t="s">
        <v>4</v>
      </c>
      <c r="BS6" s="7">
        <v>635.41880000000003</v>
      </c>
      <c r="BT6" s="7">
        <v>643.58429999999998</v>
      </c>
      <c r="BU6" s="20">
        <f t="shared" si="22"/>
        <v>8.1654999999999518</v>
      </c>
      <c r="BV6" s="7">
        <v>668.22439999999995</v>
      </c>
      <c r="BW6" s="7">
        <v>682.00959999999998</v>
      </c>
      <c r="BX6" s="20">
        <f t="shared" si="23"/>
        <v>13.785200000000032</v>
      </c>
      <c r="BY6" t="s">
        <v>4</v>
      </c>
      <c r="BZ6" s="13">
        <v>4.0837000000000003</v>
      </c>
      <c r="CA6" s="13">
        <v>0.36399999999999999</v>
      </c>
      <c r="CB6">
        <v>28.497299999999999</v>
      </c>
      <c r="CC6">
        <v>25.174900000000001</v>
      </c>
      <c r="CD6" s="20">
        <f t="shared" si="24"/>
        <v>-3.3223999999999982</v>
      </c>
      <c r="CE6" s="13">
        <v>17.913699999999999</v>
      </c>
      <c r="CF6" s="13">
        <v>16.572500000000002</v>
      </c>
      <c r="CG6">
        <v>120.803</v>
      </c>
      <c r="CH6">
        <v>116.639</v>
      </c>
      <c r="CI6" s="20">
        <f t="shared" si="25"/>
        <v>-4.1640000000000015</v>
      </c>
      <c r="CJ6" s="8">
        <v>38.438499999999998</v>
      </c>
      <c r="CK6" s="8">
        <v>38.865900000000003</v>
      </c>
      <c r="CL6" s="8">
        <f t="shared" si="26"/>
        <v>0.42740000000000578</v>
      </c>
      <c r="CM6" s="13">
        <v>1.8811</v>
      </c>
      <c r="CN6" s="13">
        <v>1.5646</v>
      </c>
      <c r="CO6">
        <v>23.291</v>
      </c>
      <c r="CP6">
        <v>23.409400000000002</v>
      </c>
      <c r="CQ6" s="20">
        <f t="shared" si="27"/>
        <v>0.11840000000000117</v>
      </c>
      <c r="CR6" s="13">
        <v>15.4878</v>
      </c>
      <c r="CS6" s="13">
        <v>14.4129</v>
      </c>
      <c r="CT6">
        <v>117.5744</v>
      </c>
      <c r="CU6">
        <v>114.39490000000001</v>
      </c>
      <c r="CV6" s="20">
        <f t="shared" si="28"/>
        <v>-3.1794999999999902</v>
      </c>
      <c r="CW6" s="8">
        <v>34.999499999999998</v>
      </c>
      <c r="CX6" s="8">
        <v>36.046599999999998</v>
      </c>
      <c r="CY6" s="20">
        <f t="shared" si="29"/>
        <v>1.0471000000000004</v>
      </c>
    </row>
    <row r="7" spans="1:103">
      <c r="A7" t="s">
        <v>5</v>
      </c>
      <c r="B7">
        <v>-2.7440000000000002</v>
      </c>
      <c r="C7">
        <v>-7.9139999999999997</v>
      </c>
      <c r="D7" s="20">
        <f t="shared" si="0"/>
        <v>-5.17</v>
      </c>
      <c r="E7">
        <v>25.2227</v>
      </c>
      <c r="F7">
        <v>23.7516</v>
      </c>
      <c r="G7" s="20">
        <f t="shared" si="1"/>
        <v>-1.4710999999999999</v>
      </c>
      <c r="H7">
        <v>-23.465900000000001</v>
      </c>
      <c r="I7">
        <v>-26.096499999999999</v>
      </c>
      <c r="J7" s="20">
        <f t="shared" si="2"/>
        <v>-2.6305999999999976</v>
      </c>
      <c r="K7">
        <v>14.558</v>
      </c>
      <c r="L7">
        <v>13.419700000000001</v>
      </c>
      <c r="M7" s="20">
        <f t="shared" si="3"/>
        <v>-1.1382999999999992</v>
      </c>
      <c r="N7">
        <v>-40.521799999999999</v>
      </c>
      <c r="O7">
        <v>-27.829000000000001</v>
      </c>
      <c r="P7" s="20">
        <f t="shared" si="4"/>
        <v>12.692799999999998</v>
      </c>
      <c r="Q7">
        <v>10.3948</v>
      </c>
      <c r="R7">
        <v>10.1638</v>
      </c>
      <c r="S7" s="20">
        <f t="shared" si="5"/>
        <v>-0.23099999999999987</v>
      </c>
      <c r="T7">
        <v>-9.1348000000000003</v>
      </c>
      <c r="U7">
        <v>-13.7601</v>
      </c>
      <c r="V7" s="20">
        <f t="shared" si="6"/>
        <v>-4.6252999999999993</v>
      </c>
      <c r="W7">
        <v>19.713699999999999</v>
      </c>
      <c r="X7">
        <v>20.383099999999999</v>
      </c>
      <c r="Y7" s="20">
        <f t="shared" si="7"/>
        <v>0.66939999999999955</v>
      </c>
      <c r="Z7">
        <v>-35.1312</v>
      </c>
      <c r="AA7">
        <v>-37.859000000000002</v>
      </c>
      <c r="AB7" s="20">
        <f t="shared" si="8"/>
        <v>-2.727800000000002</v>
      </c>
      <c r="AC7">
        <v>12.1767</v>
      </c>
      <c r="AD7">
        <v>12.527799999999999</v>
      </c>
      <c r="AE7" s="20">
        <f t="shared" si="9"/>
        <v>0.35109999999999886</v>
      </c>
      <c r="AF7">
        <v>-32.599200000000003</v>
      </c>
      <c r="AG7">
        <v>-23.528099999999998</v>
      </c>
      <c r="AH7" s="20">
        <f t="shared" si="10"/>
        <v>9.0711000000000048</v>
      </c>
      <c r="AI7">
        <v>12.318099999999999</v>
      </c>
      <c r="AJ7">
        <v>11.119300000000001</v>
      </c>
      <c r="AK7">
        <f t="shared" si="11"/>
        <v>-1.1987999999999985</v>
      </c>
      <c r="AL7" t="s">
        <v>5</v>
      </c>
      <c r="AM7">
        <v>-0.1241</v>
      </c>
      <c r="AN7">
        <v>-0.1164</v>
      </c>
      <c r="AO7" s="20">
        <f t="shared" si="12"/>
        <v>7.6999999999999985E-3</v>
      </c>
      <c r="AP7">
        <v>0.41710000000000003</v>
      </c>
      <c r="AQ7">
        <v>0.40610000000000002</v>
      </c>
      <c r="AR7" s="20">
        <f t="shared" si="13"/>
        <v>-1.100000000000001E-2</v>
      </c>
      <c r="AS7">
        <v>-9.4299999999999995E-2</v>
      </c>
      <c r="AT7">
        <v>-9.7799999999999998E-2</v>
      </c>
      <c r="AU7" s="20">
        <f t="shared" si="14"/>
        <v>-3.5000000000000031E-3</v>
      </c>
      <c r="AV7">
        <v>0.42720000000000002</v>
      </c>
      <c r="AW7">
        <v>0.40820000000000001</v>
      </c>
      <c r="AX7" s="20">
        <f t="shared" si="15"/>
        <v>-1.9000000000000017E-2</v>
      </c>
      <c r="AY7" t="s">
        <v>57</v>
      </c>
      <c r="AZ7">
        <v>-4.1776999999999997</v>
      </c>
      <c r="BA7">
        <v>-4.3109999999999999</v>
      </c>
      <c r="BB7" s="20">
        <f t="shared" si="16"/>
        <v>-0.1333000000000002</v>
      </c>
      <c r="BC7">
        <v>-1.5572999999999999</v>
      </c>
      <c r="BD7">
        <v>-1.8997999999999999</v>
      </c>
      <c r="BE7" s="20">
        <f t="shared" si="17"/>
        <v>-0.34250000000000003</v>
      </c>
      <c r="BF7">
        <v>-2.7261000000000002</v>
      </c>
      <c r="BG7">
        <v>-2.4733999999999998</v>
      </c>
      <c r="BH7" s="20">
        <f t="shared" si="18"/>
        <v>0.25270000000000037</v>
      </c>
      <c r="BI7">
        <v>-4.3122999999999996</v>
      </c>
      <c r="BJ7">
        <v>-4.1980000000000004</v>
      </c>
      <c r="BK7" s="20">
        <f t="shared" si="19"/>
        <v>0.11429999999999918</v>
      </c>
      <c r="BL7">
        <v>-1.891</v>
      </c>
      <c r="BM7">
        <v>-2.0828000000000002</v>
      </c>
      <c r="BN7" s="20">
        <f t="shared" si="20"/>
        <v>-0.19180000000000019</v>
      </c>
      <c r="BO7">
        <v>-1.8732</v>
      </c>
      <c r="BP7">
        <v>-1.5786</v>
      </c>
      <c r="BQ7" s="20">
        <f t="shared" si="21"/>
        <v>0.29459999999999997</v>
      </c>
      <c r="BR7" s="7" t="s">
        <v>5</v>
      </c>
      <c r="BS7" s="7">
        <v>731.71870000000001</v>
      </c>
      <c r="BT7" s="7">
        <v>735.13980000000004</v>
      </c>
      <c r="BU7" s="20">
        <f t="shared" si="22"/>
        <v>3.421100000000024</v>
      </c>
      <c r="BV7" s="7">
        <v>680.21169999999995</v>
      </c>
      <c r="BW7" s="7">
        <v>678.05020000000002</v>
      </c>
      <c r="BX7" s="20">
        <f t="shared" si="23"/>
        <v>-2.1614999999999327</v>
      </c>
      <c r="BY7" t="s">
        <v>5</v>
      </c>
      <c r="BZ7" s="13">
        <v>-0.51700000000000002</v>
      </c>
      <c r="CA7" s="13">
        <v>-0.30109999999999998</v>
      </c>
      <c r="CB7">
        <v>23.6936</v>
      </c>
      <c r="CC7">
        <v>24.040700000000001</v>
      </c>
      <c r="CD7" s="20">
        <f t="shared" si="24"/>
        <v>0.34710000000000107</v>
      </c>
      <c r="CE7" s="13">
        <v>17.324400000000001</v>
      </c>
      <c r="CF7" s="13">
        <v>15.9033</v>
      </c>
      <c r="CG7">
        <v>117.788</v>
      </c>
      <c r="CH7">
        <v>116.5749</v>
      </c>
      <c r="CI7" s="20">
        <f t="shared" si="25"/>
        <v>-1.2130999999999972</v>
      </c>
      <c r="CJ7" s="8">
        <v>40.414299999999997</v>
      </c>
      <c r="CK7" s="8">
        <v>39.947299999999998</v>
      </c>
      <c r="CL7" s="8">
        <f t="shared" si="26"/>
        <v>-0.46699999999999875</v>
      </c>
      <c r="CM7" s="13">
        <v>-0.56530000000000002</v>
      </c>
      <c r="CN7" s="13">
        <v>-1.379</v>
      </c>
      <c r="CO7">
        <v>22.8567</v>
      </c>
      <c r="CP7">
        <v>21.2927</v>
      </c>
      <c r="CQ7" s="20">
        <f t="shared" si="27"/>
        <v>-1.5640000000000001</v>
      </c>
      <c r="CR7" s="13">
        <v>14.9474</v>
      </c>
      <c r="CS7" s="13">
        <v>12.110799999999999</v>
      </c>
      <c r="CT7">
        <v>118.1288</v>
      </c>
      <c r="CU7">
        <v>114.2012</v>
      </c>
      <c r="CV7" s="20">
        <f t="shared" si="28"/>
        <v>-3.9275999999999982</v>
      </c>
      <c r="CW7" s="8">
        <v>37.833799999999997</v>
      </c>
      <c r="CX7" s="8">
        <v>34.575499999999998</v>
      </c>
      <c r="CY7" s="20">
        <f t="shared" si="29"/>
        <v>-3.2582999999999984</v>
      </c>
    </row>
    <row r="8" spans="1:103" ht="18.5">
      <c r="A8" s="25" t="s">
        <v>30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3"/>
      <c r="AL8" s="26" t="s">
        <v>39</v>
      </c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4"/>
      <c r="AY8" s="28" t="s">
        <v>58</v>
      </c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10"/>
      <c r="BR8" s="30" t="s">
        <v>63</v>
      </c>
      <c r="BS8" s="30"/>
      <c r="BT8" s="30"/>
      <c r="BU8" s="30"/>
      <c r="BV8" s="30"/>
      <c r="BW8" s="30"/>
      <c r="BX8" s="9"/>
      <c r="BY8" s="31" t="s">
        <v>83</v>
      </c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</row>
    <row r="9" spans="1:103">
      <c r="A9" s="14" t="s">
        <v>117</v>
      </c>
      <c r="B9">
        <f t="shared" ref="B9:AK9" si="30">_xlfn.STDEV.S(B2:B7)</f>
        <v>4.9163403960330783</v>
      </c>
      <c r="C9">
        <f t="shared" si="30"/>
        <v>2.6519874701187143</v>
      </c>
      <c r="D9">
        <f t="shared" si="30"/>
        <v>4.2676605399211409</v>
      </c>
      <c r="E9">
        <f t="shared" si="30"/>
        <v>3.2435494769876088</v>
      </c>
      <c r="F9">
        <f t="shared" si="30"/>
        <v>2.6480768860942394</v>
      </c>
      <c r="G9" s="20">
        <f t="shared" si="30"/>
        <v>1.7761998439552531</v>
      </c>
      <c r="H9">
        <f t="shared" si="30"/>
        <v>4.6220079267204506</v>
      </c>
      <c r="I9">
        <f t="shared" si="30"/>
        <v>4.9404184547465277</v>
      </c>
      <c r="J9" s="20">
        <f t="shared" si="30"/>
        <v>3.1689618316834727</v>
      </c>
      <c r="K9">
        <f t="shared" si="30"/>
        <v>2.3948299343933863</v>
      </c>
      <c r="L9">
        <f t="shared" si="30"/>
        <v>1.7537394808427671</v>
      </c>
      <c r="M9" s="20">
        <f t="shared" si="30"/>
        <v>1.5984684945284342</v>
      </c>
      <c r="N9">
        <f t="shared" si="30"/>
        <v>6.1038980498257729</v>
      </c>
      <c r="O9">
        <f t="shared" si="30"/>
        <v>4.4910328347720156</v>
      </c>
      <c r="P9">
        <f t="shared" si="30"/>
        <v>6.5619556125949732</v>
      </c>
      <c r="Q9">
        <f t="shared" si="30"/>
        <v>3.7672253890628884</v>
      </c>
      <c r="R9">
        <f t="shared" si="30"/>
        <v>3.9112610430652635</v>
      </c>
      <c r="S9" s="20">
        <f t="shared" si="30"/>
        <v>1.5674044669452747</v>
      </c>
      <c r="T9">
        <f t="shared" si="30"/>
        <v>2.2726461710232564</v>
      </c>
      <c r="U9">
        <f t="shared" si="30"/>
        <v>2.0503662782537271</v>
      </c>
      <c r="V9" s="20">
        <f t="shared" si="30"/>
        <v>1.5554276034797216</v>
      </c>
      <c r="W9">
        <f t="shared" si="30"/>
        <v>2.6161084460829636</v>
      </c>
      <c r="X9">
        <f t="shared" si="30"/>
        <v>2.9361658867759468</v>
      </c>
      <c r="Y9" s="20">
        <f t="shared" si="30"/>
        <v>0.824909540293157</v>
      </c>
      <c r="Z9">
        <f t="shared" si="30"/>
        <v>3.7789514934260242</v>
      </c>
      <c r="AA9">
        <f t="shared" si="30"/>
        <v>6.6300319452221625</v>
      </c>
      <c r="AB9" s="20">
        <f t="shared" si="30"/>
        <v>4.3956436322416614</v>
      </c>
      <c r="AC9">
        <f t="shared" si="30"/>
        <v>1.5241497075418775</v>
      </c>
      <c r="AD9">
        <f t="shared" si="30"/>
        <v>1.7387591120297927</v>
      </c>
      <c r="AE9" s="20">
        <f t="shared" si="30"/>
        <v>1.9756498643906177</v>
      </c>
      <c r="AF9">
        <f t="shared" si="30"/>
        <v>8.9859733007430371</v>
      </c>
      <c r="AG9">
        <f t="shared" si="30"/>
        <v>6.6976023791851551</v>
      </c>
      <c r="AH9" s="20">
        <f t="shared" si="30"/>
        <v>7.7307897701765693</v>
      </c>
      <c r="AI9">
        <f t="shared" si="30"/>
        <v>3.954380049346125</v>
      </c>
      <c r="AJ9">
        <f t="shared" si="30"/>
        <v>3.786779982518131</v>
      </c>
      <c r="AK9" s="20">
        <f t="shared" si="30"/>
        <v>1.7781062765387965</v>
      </c>
      <c r="AM9">
        <f t="shared" ref="AM9:AT9" si="31">_xlfn.STDEV.S(AM2:AM7)</f>
        <v>5.6694388317245874E-2</v>
      </c>
      <c r="AN9">
        <f t="shared" si="31"/>
        <v>5.1978857881514344E-2</v>
      </c>
      <c r="AO9" s="20">
        <f t="shared" si="31"/>
        <v>8.5287748240881582E-3</v>
      </c>
      <c r="AP9">
        <f t="shared" si="31"/>
        <v>3.3236450873501321E-2</v>
      </c>
      <c r="AQ9">
        <f t="shared" si="31"/>
        <v>3.1887845124226669E-2</v>
      </c>
      <c r="AR9" s="20">
        <f t="shared" si="31"/>
        <v>5.292164018622249E-3</v>
      </c>
      <c r="AS9">
        <f t="shared" si="31"/>
        <v>4.0468440378480929E-2</v>
      </c>
      <c r="AT9">
        <f t="shared" si="31"/>
        <v>4.215046460795735E-2</v>
      </c>
      <c r="AU9" s="20">
        <f>_xlfn.STDEV.S(AL2:AW8)</f>
        <v>0.22278493659138621</v>
      </c>
      <c r="AV9">
        <f>_xlfn.STDEV.S(AV2:AV7)</f>
        <v>3.0634539330631354E-2</v>
      </c>
      <c r="AW9">
        <f>_xlfn.STDEV.S(AW2:AW7)</f>
        <v>3.0925809070526628E-2</v>
      </c>
      <c r="AX9" s="20">
        <f>_xlfn.STDEV.S(AX2:AX7)</f>
        <v>9.7366660960858109E-3</v>
      </c>
      <c r="AZ9">
        <f t="shared" ref="AZ9:BQ9" si="32">_xlfn.STDEV.S(AZ2:AZ7)</f>
        <v>0.3234472471156104</v>
      </c>
      <c r="BA9">
        <f t="shared" si="32"/>
        <v>0.34974060482973179</v>
      </c>
      <c r="BB9" s="20">
        <f t="shared" si="32"/>
        <v>0.20987760639636299</v>
      </c>
      <c r="BC9">
        <f t="shared" si="32"/>
        <v>0.29367863842415792</v>
      </c>
      <c r="BD9">
        <f t="shared" si="32"/>
        <v>0.22531149105183243</v>
      </c>
      <c r="BE9" s="20">
        <f t="shared" si="32"/>
        <v>0.15186369765900817</v>
      </c>
      <c r="BF9">
        <f t="shared" si="32"/>
        <v>0.22544031065154854</v>
      </c>
      <c r="BG9">
        <f t="shared" si="32"/>
        <v>0.19999859666174336</v>
      </c>
      <c r="BH9" s="20">
        <f t="shared" si="32"/>
        <v>0.13806201142964722</v>
      </c>
      <c r="BI9">
        <f t="shared" si="32"/>
        <v>0.30079372112241087</v>
      </c>
      <c r="BJ9">
        <f t="shared" si="32"/>
        <v>0.31616005229419269</v>
      </c>
      <c r="BK9" s="20">
        <f t="shared" si="32"/>
        <v>9.3447546784278718E-2</v>
      </c>
      <c r="BL9">
        <f t="shared" si="32"/>
        <v>0.32451490207179384</v>
      </c>
      <c r="BM9">
        <f t="shared" si="32"/>
        <v>0.29064916996268836</v>
      </c>
      <c r="BN9" s="20">
        <f t="shared" si="32"/>
        <v>0.18607383928609272</v>
      </c>
      <c r="BO9">
        <f t="shared" si="32"/>
        <v>0.34787705874345831</v>
      </c>
      <c r="BP9">
        <f t="shared" si="32"/>
        <v>0.41048372156112006</v>
      </c>
      <c r="BQ9" s="20">
        <f t="shared" si="32"/>
        <v>0.27444968512765061</v>
      </c>
      <c r="BS9">
        <f t="shared" ref="BS9:BX9" si="33">_xlfn.STDEV.S(BS2:BS7)</f>
        <v>48.398067632227502</v>
      </c>
      <c r="BT9">
        <f t="shared" si="33"/>
        <v>50.789640075380213</v>
      </c>
      <c r="BU9" s="20">
        <f t="shared" si="33"/>
        <v>11.252471268733258</v>
      </c>
      <c r="BV9">
        <f t="shared" si="33"/>
        <v>44.879795676737054</v>
      </c>
      <c r="BW9">
        <f t="shared" si="33"/>
        <v>37.314737261712928</v>
      </c>
      <c r="BX9" s="20">
        <f t="shared" si="33"/>
        <v>12.704632004863431</v>
      </c>
      <c r="BZ9" s="13"/>
      <c r="CA9" s="13"/>
      <c r="CB9">
        <f>_xlfn.STDEV.S(CB2:CB7)</f>
        <v>1.7919945319857047</v>
      </c>
      <c r="CC9">
        <f>_xlfn.STDEV.S(CC2:CC7)</f>
        <v>1.0734923687044386</v>
      </c>
      <c r="CD9" s="20">
        <f>_xlfn.STDEV.S(CD2:CD7)</f>
        <v>1.2438879747254838</v>
      </c>
      <c r="CE9" s="13"/>
      <c r="CF9" s="13"/>
      <c r="CG9">
        <f t="shared" ref="CG9:CL9" si="34">_xlfn.STDEV.S(CG2:CG7)</f>
        <v>5.7987098539818893</v>
      </c>
      <c r="CH9">
        <f t="shared" si="34"/>
        <v>5.9435682564152232</v>
      </c>
      <c r="CI9" s="20">
        <f t="shared" si="34"/>
        <v>2.8986394553307262</v>
      </c>
      <c r="CJ9">
        <f t="shared" si="34"/>
        <v>2.1541445732974078</v>
      </c>
      <c r="CK9">
        <f t="shared" si="34"/>
        <v>1.2476653708693959</v>
      </c>
      <c r="CL9" s="21">
        <f t="shared" si="34"/>
        <v>0.94483372805307331</v>
      </c>
      <c r="CM9" s="13"/>
      <c r="CN9" s="13"/>
      <c r="CO9">
        <f>_xlfn.STDEV.S(CO2:CO7)</f>
        <v>1.5993374946103984</v>
      </c>
      <c r="CP9">
        <f>_xlfn.STDEV.S(CP2:CP7)</f>
        <v>1.5065012438317691</v>
      </c>
      <c r="CQ9" s="20">
        <f>_xlfn.STDEV.S(CQ2:CQ7)</f>
        <v>1.5010129179990421</v>
      </c>
      <c r="CR9" s="13"/>
      <c r="CS9" s="13"/>
      <c r="CT9">
        <f t="shared" ref="CT9:CY9" si="35">_xlfn.STDEV.S(CT2:CT7)</f>
        <v>8.3068936755965925</v>
      </c>
      <c r="CU9">
        <f t="shared" si="35"/>
        <v>6.592614190870469</v>
      </c>
      <c r="CV9" s="20">
        <f t="shared" si="35"/>
        <v>2.4542267988105744</v>
      </c>
      <c r="CW9">
        <f t="shared" si="35"/>
        <v>2.1440512689765625</v>
      </c>
      <c r="CX9">
        <f t="shared" si="35"/>
        <v>2.4093678523629403</v>
      </c>
      <c r="CY9" s="20">
        <f t="shared" si="35"/>
        <v>1.8317510966285777</v>
      </c>
    </row>
    <row r="11" spans="1:103" s="23" customFormat="1">
      <c r="A11" s="14" t="s">
        <v>112</v>
      </c>
      <c r="D11" s="23">
        <f>_xlfn.STDEV.S(D2:D7)/SQRT(2)</f>
        <v>3.0176917075804814</v>
      </c>
      <c r="G11" s="23">
        <f>_xlfn.STDEV.S(G2:G7) / SQRT(2)</f>
        <v>1.2559629544032469</v>
      </c>
      <c r="J11" s="23">
        <f>_xlfn.STDEV.S(J2:J7) / SQRT(2)</f>
        <v>2.240794400504726</v>
      </c>
      <c r="M11" s="23">
        <f>_xlfn.STDEV.S(M2:M7) / SQRT(2)</f>
        <v>1.1302879119941074</v>
      </c>
      <c r="P11" s="23">
        <f>_xlfn.STDEV.S(P2:P7) / SQRT(2)</f>
        <v>4.6400033115110304</v>
      </c>
      <c r="S11" s="23">
        <f>_xlfn.STDEV.S(S2:S7) / SQRT(2)</f>
        <v>1.1083223274390894</v>
      </c>
      <c r="V11" s="23">
        <f>_xlfn.STDEV.S(V2:V7) / SQRT(2)</f>
        <v>1.0998534060652514</v>
      </c>
      <c r="Y11" s="23">
        <f>_xlfn.STDEV.S(Y2:Y7) / SQRT(2)</f>
        <v>0.58329912980676879</v>
      </c>
      <c r="AB11" s="23">
        <f>_xlfn.STDEV.S(AB2:AB7) / SQRT(2)</f>
        <v>3.1081894200375451</v>
      </c>
      <c r="AE11" s="23">
        <f>_xlfn.STDEV.S(AE2:AE7) / SQRT(2)</f>
        <v>1.3969954163608886</v>
      </c>
      <c r="AH11" s="23">
        <f>_xlfn.STDEV.S(AH2:AH7) / SQRT(2)</f>
        <v>5.466493870419443</v>
      </c>
      <c r="AK11" s="23">
        <f>_xlfn.STDEV.S(AK2:AK7) / SQRT(2)</f>
        <v>1.2573110058109453</v>
      </c>
      <c r="AO11" s="23">
        <f>_xlfn.STDEV.S(AO2:AO7) / SQRT(2)</f>
        <v>6.0307545133258403E-3</v>
      </c>
      <c r="AR11" s="23">
        <f>_xlfn.STDEV.S(AR2:AR7) / SQRT(2)</f>
        <v>3.7421250647192423E-3</v>
      </c>
      <c r="AU11" s="23">
        <f>_xlfn.STDEV.S(AU2:AU7) / SQRT(2)</f>
        <v>3.0544230224381149E-3</v>
      </c>
      <c r="AX11" s="23">
        <f>_xlfn.STDEV.S(AX2:AX7) / SQRT(2)</f>
        <v>6.8848626226914247E-3</v>
      </c>
      <c r="BB11" s="23">
        <f>_xlfn.STDEV.S(BB2:BB7) / SQRT(2)</f>
        <v>0.14840587870206939</v>
      </c>
      <c r="BE11" s="23">
        <f>_xlfn.STDEV.S(BE2:BE7) / SQRT(2)</f>
        <v>0.1073838504307483</v>
      </c>
      <c r="BH11" s="23">
        <f>_xlfn.STDEV.S(BH2:BH7) / SQRT(2)</f>
        <v>9.7624584506158171E-2</v>
      </c>
      <c r="BK11" s="23">
        <f>_xlfn.STDEV.S(BK2:BK7) / SQRT(2)</f>
        <v>6.6077394016410634E-2</v>
      </c>
      <c r="BN11" s="23">
        <f>_xlfn.STDEV.S(BN2:BN7) / SQRT(2)</f>
        <v>0.13157407356061196</v>
      </c>
      <c r="BQ11" s="23">
        <f>_xlfn.STDEV.S(BQ2:BQ7) / SQRT(2)</f>
        <v>0.1940652334482745</v>
      </c>
      <c r="BU11" s="23">
        <f>_xlfn.STDEV.S(BU2:BU7) / SQRT(2)</f>
        <v>7.9566987392280799</v>
      </c>
      <c r="BX11" s="23">
        <f>_xlfn.STDEV.S(BX2:BX7) / SQRT(2)</f>
        <v>8.983531443118574</v>
      </c>
      <c r="CD11" s="23">
        <f>_xlfn.STDEV.S(CD2:CD7) / SQRT(2)</f>
        <v>0.87956162196479037</v>
      </c>
      <c r="CI11" s="23">
        <f>_xlfn.STDEV.S(CI2:CI7) / SQRT(2)</f>
        <v>2.0496476150792371</v>
      </c>
      <c r="CL11" s="23">
        <f>_xlfn.STDEV.S(CL2:CL7) / SQRT(2)</f>
        <v>0.6680983362000944</v>
      </c>
      <c r="CQ11" s="23">
        <f>_xlfn.STDEV.S(CQ2:CQ7) / SQRT(2)</f>
        <v>1.0613764129657297</v>
      </c>
      <c r="CV11" s="23">
        <f>_xlfn.STDEV.S(CV2:CV7) / SQRT(2)</f>
        <v>1.7354004120087096</v>
      </c>
      <c r="CY11" s="23">
        <f>_xlfn.STDEV.S(CY2:CY7) / SQRT(2)</f>
        <v>1.2952436218719621</v>
      </c>
    </row>
    <row r="12" spans="1:103">
      <c r="A12" s="14" t="s">
        <v>118</v>
      </c>
      <c r="B12">
        <f>AVERAGE(B2:B7)</f>
        <v>-8.4611166666666673</v>
      </c>
      <c r="E12">
        <f>AVERAGE(E2:E7)</f>
        <v>19.752783333333333</v>
      </c>
      <c r="H12">
        <f>AVERAGE(H2:H7)</f>
        <v>-26.018533333333334</v>
      </c>
      <c r="K12">
        <f>AVERAGE(K2:K7)</f>
        <v>10.869033333333334</v>
      </c>
      <c r="N12">
        <f>AVERAGE(N2:N7)</f>
        <v>-34.88753333333333</v>
      </c>
      <c r="Q12">
        <f>AVERAGE(Q2:Q7)</f>
        <v>8.4019999999999992</v>
      </c>
      <c r="T12">
        <f>AVERAGE(T2:T7)</f>
        <v>-6.7606333333333337</v>
      </c>
      <c r="W12">
        <f>AVERAGE(W2:W7)</f>
        <v>19.452083333333338</v>
      </c>
      <c r="Z12">
        <f>AVERAGE(Z2:Z7)</f>
        <v>-31.483583333333332</v>
      </c>
      <c r="AC12">
        <f>AVERAGE(AC2:AC7)</f>
        <v>11.40305</v>
      </c>
      <c r="AF12">
        <f>AVERAGE(AF2:AF7)</f>
        <v>-33.682783333333333</v>
      </c>
      <c r="AI12">
        <f>AVERAGE(AI2:AI7)</f>
        <v>8.9820666666666664</v>
      </c>
      <c r="AM12">
        <f>AVERAGE(AM2:AM7)</f>
        <v>-8.0783333333333332E-2</v>
      </c>
      <c r="AP12">
        <f>AVERAGE(AP2:AP7)</f>
        <v>0.40478333333333333</v>
      </c>
      <c r="AS12">
        <f>AVERAGE(AS2:AS7)</f>
        <v>-8.773333333333333E-2</v>
      </c>
      <c r="AV12">
        <f>AVERAGE(AV2:AV7)</f>
        <v>0.40024999999999999</v>
      </c>
      <c r="AZ12">
        <f>AVERAGE(AZ2:AZ7)</f>
        <v>-4.1928833333333335</v>
      </c>
      <c r="BC12">
        <f>AVERAGE(BC2:BC7)</f>
        <v>-1.7613333333333332</v>
      </c>
      <c r="BF12">
        <f>AVERAGE(BF2:BF7)</f>
        <v>-2.7267833333333331</v>
      </c>
      <c r="BI12">
        <f>AVERAGE(BI2:BI7)</f>
        <v>-4.208566666666667</v>
      </c>
      <c r="BL12">
        <f>AVERAGE(BL2:BL7)</f>
        <v>-1.7886166666666667</v>
      </c>
      <c r="BO12">
        <f>AVERAGE(BO2:BO7)</f>
        <v>-2.4387000000000003</v>
      </c>
      <c r="BS12">
        <f>AVERAGE(BS2:BS7)</f>
        <v>672.96418333333327</v>
      </c>
      <c r="BV12">
        <f>AVERAGE(BV2:BV7)</f>
        <v>659.25461666666661</v>
      </c>
      <c r="CB12">
        <f>AVERAGE(CB2:CB7)</f>
        <v>25.694033333333334</v>
      </c>
      <c r="CG12">
        <f>AVERAGE(CG2:CG7)</f>
        <v>114.76783333333333</v>
      </c>
      <c r="CJ12">
        <f>AVERAGE(CJ2:CJ7)</f>
        <v>39.996266666666664</v>
      </c>
      <c r="CO12">
        <f>AVERAGE(CO2:CO7)</f>
        <v>24.282383333333332</v>
      </c>
      <c r="CT12">
        <f>AVERAGE(CT2:CT7)</f>
        <v>111.45438333333333</v>
      </c>
      <c r="CW12">
        <f>AVERAGE(CW2:CW7)</f>
        <v>38.589400000000005</v>
      </c>
    </row>
    <row r="14" spans="1:103">
      <c r="A14" s="14" t="s">
        <v>120</v>
      </c>
      <c r="B14">
        <f>D11/ABS(B12)*100</f>
        <v>35.665407137913022</v>
      </c>
      <c r="D14">
        <v>35.665410000000001</v>
      </c>
      <c r="G14">
        <f>G11/ ABS(H12)*100</f>
        <v>4.8271858306255293</v>
      </c>
      <c r="J14">
        <f>J11 / ABS(H12)*100</f>
        <v>8.6123009771421621</v>
      </c>
      <c r="M14">
        <f>M11/ ABS(K12)*100</f>
        <v>10.399157655793744</v>
      </c>
      <c r="P14">
        <f>P11/ABS(N12)*100</f>
        <v>13.299889296208095</v>
      </c>
      <c r="S14">
        <f>S11/ABS(Q12)*100</f>
        <v>13.191172666497138</v>
      </c>
      <c r="V14">
        <f>V11/ABS(T12)*100</f>
        <v>16.268496630965316</v>
      </c>
      <c r="Y14">
        <f>Y11/ABS(W12)*100</f>
        <v>2.9986460566268498</v>
      </c>
      <c r="AB14">
        <f>AB11/ABS(Z12)*100</f>
        <v>9.8724131466532938</v>
      </c>
      <c r="AE14">
        <f>AE11/ABS(AC12)*100</f>
        <v>12.251068059518188</v>
      </c>
      <c r="AH14">
        <f>AH11/ABS(AF12)*100</f>
        <v>16.229341311617983</v>
      </c>
      <c r="AK14">
        <f>AK11/ABS(AI12)*100</f>
        <v>13.998014627045135</v>
      </c>
      <c r="AO14">
        <f>AO11/ABS(AM12)*100</f>
        <v>7.4653449721384453</v>
      </c>
      <c r="AR14">
        <f>AR11/ABS(AP12)*100</f>
        <v>0.92447607313852909</v>
      </c>
      <c r="AU14">
        <f>AU11/ABS(AS12)*100</f>
        <v>3.48148520794618</v>
      </c>
      <c r="AX14">
        <f>AX11/ABS(AV12)*100</f>
        <v>1.72014056781797</v>
      </c>
      <c r="BB14">
        <f>BB11/ABS(AZ12)*100</f>
        <v>3.5394707389601279</v>
      </c>
      <c r="BE14">
        <f>BE11/ABS(BC12)*100</f>
        <v>6.0967363984149303</v>
      </c>
      <c r="BH14">
        <f>BH11/ABS(BF12)*100</f>
        <v>3.5802105474518147</v>
      </c>
      <c r="BK14">
        <f>BK11/ABS(BI12)*100</f>
        <v>1.5700688440976096</v>
      </c>
      <c r="BN14">
        <f>BN11/ABS(BL12)*100</f>
        <v>7.3561918555650241</v>
      </c>
      <c r="BQ14">
        <f>BQ11/ABS(BO12)*100</f>
        <v>7.9577329498615859</v>
      </c>
      <c r="BU14">
        <f>BU11/ABS(BS12)*100</f>
        <v>1.1823361385767779</v>
      </c>
      <c r="BX14">
        <f>BX11/ABS(BV12)*100</f>
        <v>1.3626800959758529</v>
      </c>
      <c r="CD14">
        <f>CD11/ABS(CB12)*100</f>
        <v>3.4232135163603106</v>
      </c>
      <c r="CI14">
        <f>CI11/ABS(CG12)*100</f>
        <v>1.7859077369930052</v>
      </c>
      <c r="CL14">
        <f>CL11/ABS(CJ12)*100</f>
        <v>1.6704017446630712</v>
      </c>
      <c r="CQ14">
        <f>CQ11/ABS(CO12)*100</f>
        <v>4.3709729740932755</v>
      </c>
      <c r="CV14">
        <f>CV11/ABS(CT12)*100</f>
        <v>1.5570499428618643</v>
      </c>
      <c r="CY14">
        <f>CY11/ABS(CW12)*100</f>
        <v>3.3564751508755304</v>
      </c>
    </row>
    <row r="18" spans="8:8">
      <c r="H18" s="22"/>
    </row>
  </sheetData>
  <mergeCells count="5">
    <mergeCell ref="A8:AJ8"/>
    <mergeCell ref="AL8:AW8"/>
    <mergeCell ref="AY8:BP8"/>
    <mergeCell ref="BR8:BW8"/>
    <mergeCell ref="BY8:CX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ICC </vt:lpstr>
      <vt:lpstr>Typical Error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Argyro Kotsifaki</dc:creator>
  <cp:keywords/>
  <dc:description/>
  <cp:lastModifiedBy>Rod Whiteley</cp:lastModifiedBy>
  <cp:revision/>
  <dcterms:created xsi:type="dcterms:W3CDTF">2025-11-15T19:16:55Z</dcterms:created>
  <dcterms:modified xsi:type="dcterms:W3CDTF">2026-03-28T18:30:49Z</dcterms:modified>
  <cp:category/>
  <cp:contentStatus/>
</cp:coreProperties>
</file>